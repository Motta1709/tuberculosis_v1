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Pago N°1 Contrato 1022 de 2022 Diciembre\2. Obligaciones\Obligación 4\5. Formatos e instrumentos TB PNPCT\Formatos página Web 2023\"/>
    </mc:Choice>
  </mc:AlternateContent>
  <bookViews>
    <workbookView xWindow="-105" yWindow="-105" windowWidth="19425" windowHeight="10425" tabRatio="605"/>
  </bookViews>
  <sheets>
    <sheet name="Indicadores de gestión." sheetId="2" r:id="rId1"/>
    <sheet name="Instructivo." sheetId="4" r:id="rId2"/>
  </sheets>
  <definedNames>
    <definedName name="_xlnm.Print_Area" localSheetId="0">'Indicadores de gestión.'!$A$1:$S$49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" l="1"/>
  <c r="I41" i="2"/>
  <c r="I40" i="2"/>
  <c r="C45" i="2"/>
  <c r="F45" i="2"/>
  <c r="J39" i="2"/>
  <c r="J40" i="2"/>
  <c r="J42" i="2"/>
  <c r="J41" i="2"/>
  <c r="I42" i="2"/>
  <c r="I43" i="2" l="1"/>
  <c r="J43" i="2"/>
  <c r="R25" i="2"/>
  <c r="S25" i="2" s="1"/>
  <c r="R26" i="2"/>
  <c r="R27" i="2"/>
  <c r="R28" i="2"/>
  <c r="R29" i="2"/>
  <c r="R30" i="2"/>
  <c r="R31" i="2"/>
  <c r="R32" i="2"/>
  <c r="N25" i="2"/>
  <c r="N26" i="2"/>
  <c r="N27" i="2"/>
  <c r="N28" i="2"/>
  <c r="N29" i="2"/>
  <c r="N30" i="2"/>
  <c r="N31" i="2"/>
  <c r="J25" i="2"/>
  <c r="J26" i="2"/>
  <c r="J27" i="2"/>
  <c r="J28" i="2"/>
  <c r="J29" i="2"/>
  <c r="J30" i="2"/>
  <c r="F24" i="2"/>
  <c r="F25" i="2"/>
  <c r="F26" i="2"/>
  <c r="F27" i="2"/>
  <c r="F28" i="2"/>
  <c r="F29" i="2"/>
  <c r="F30" i="2"/>
  <c r="S26" i="2" l="1"/>
  <c r="S27" i="2"/>
  <c r="S29" i="2"/>
  <c r="S28" i="2"/>
  <c r="S30" i="2"/>
  <c r="F35" i="2"/>
  <c r="J35" i="2"/>
  <c r="N35" i="2"/>
  <c r="R35" i="2"/>
  <c r="F36" i="2"/>
  <c r="J36" i="2"/>
  <c r="N36" i="2"/>
  <c r="R36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33" i="2"/>
  <c r="R34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32" i="2"/>
  <c r="N33" i="2"/>
  <c r="N3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31" i="2"/>
  <c r="J32" i="2"/>
  <c r="J33" i="2"/>
  <c r="J3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31" i="2"/>
  <c r="F32" i="2"/>
  <c r="F33" i="2"/>
  <c r="F34" i="2"/>
  <c r="S32" i="2" l="1"/>
  <c r="S20" i="2"/>
  <c r="S12" i="2"/>
  <c r="S31" i="2"/>
  <c r="S19" i="2"/>
  <c r="S11" i="2"/>
  <c r="S18" i="2"/>
  <c r="S17" i="2"/>
  <c r="S16" i="2"/>
  <c r="S15" i="2"/>
  <c r="S22" i="2"/>
  <c r="S14" i="2"/>
  <c r="S21" i="2"/>
  <c r="S13" i="2"/>
  <c r="S35" i="2"/>
  <c r="S36" i="2"/>
  <c r="S24" i="2" l="1"/>
  <c r="S6" i="2"/>
  <c r="F5" i="2"/>
  <c r="J5" i="2"/>
  <c r="N5" i="2"/>
  <c r="R5" i="2"/>
  <c r="S23" i="2" l="1"/>
  <c r="S8" i="2"/>
  <c r="S10" i="2"/>
  <c r="S9" i="2"/>
  <c r="S33" i="2"/>
  <c r="S7" i="2"/>
  <c r="S5" i="2"/>
  <c r="S34" i="2"/>
</calcChain>
</file>

<file path=xl/comments1.xml><?xml version="1.0" encoding="utf-8"?>
<comments xmlns="http://schemas.openxmlformats.org/spreadsheetml/2006/main">
  <authors>
    <author>Andres Cruz</author>
  </authors>
  <commentList>
    <comment ref="I39" authorId="0" shapeId="0">
      <text>
        <r>
          <rPr>
            <b/>
            <sz val="9"/>
            <color indexed="81"/>
            <rFont val="Tahoma"/>
            <family val="2"/>
          </rPr>
          <t>Andres Cruz:</t>
        </r>
        <r>
          <rPr>
            <sz val="9"/>
            <color indexed="81"/>
            <rFont val="Tahoma"/>
            <family val="2"/>
          </rPr>
          <t xml:space="preserve">
Verificar que la inversión en talento humano sea como mínimo el 70% o más del recurso de transferencias nacionales. </t>
        </r>
      </text>
    </comment>
    <comment ref="J39" authorId="0" shapeId="0">
      <text>
        <r>
          <rPr>
            <b/>
            <sz val="9"/>
            <color indexed="81"/>
            <rFont val="Tahoma"/>
            <family val="2"/>
          </rPr>
          <t>Andres Cruz:</t>
        </r>
        <r>
          <rPr>
            <sz val="9"/>
            <color indexed="81"/>
            <rFont val="Tahoma"/>
            <family val="2"/>
          </rPr>
          <t xml:space="preserve">
Verificar que la inversión en talento humano sea como mínimo el 70% o más del recurso de transferencias nacionales. </t>
        </r>
      </text>
    </comment>
  </commentList>
</comments>
</file>

<file path=xl/sharedStrings.xml><?xml version="1.0" encoding="utf-8"?>
<sst xmlns="http://schemas.openxmlformats.org/spreadsheetml/2006/main" count="176" uniqueCount="139">
  <si>
    <t>I</t>
  </si>
  <si>
    <t>II</t>
  </si>
  <si>
    <t>III</t>
  </si>
  <si>
    <t>1T</t>
  </si>
  <si>
    <t>IV</t>
  </si>
  <si>
    <t>V</t>
  </si>
  <si>
    <t>VI</t>
  </si>
  <si>
    <t>2T</t>
  </si>
  <si>
    <t>VII</t>
  </si>
  <si>
    <t>VIII</t>
  </si>
  <si>
    <t>IX</t>
  </si>
  <si>
    <t>3T</t>
  </si>
  <si>
    <t xml:space="preserve">X </t>
  </si>
  <si>
    <t>XI</t>
  </si>
  <si>
    <t>XII</t>
  </si>
  <si>
    <t>4T</t>
  </si>
  <si>
    <t>E</t>
  </si>
  <si>
    <t>F</t>
  </si>
  <si>
    <t>M</t>
  </si>
  <si>
    <t>A</t>
  </si>
  <si>
    <t>J</t>
  </si>
  <si>
    <t>S</t>
  </si>
  <si>
    <t>O</t>
  </si>
  <si>
    <t>N</t>
  </si>
  <si>
    <t>D</t>
  </si>
  <si>
    <t>ANUAL</t>
  </si>
  <si>
    <t xml:space="preserve">Número de personas afectadas por TB canalizadas a programas sociales o de protección (comedores comunitarios, bonos, subsidios u otros).  </t>
  </si>
  <si>
    <t xml:space="preserve">Número de Sintomáticos Respiratorios detectados en IPS públicas y privadas de manera mensual. </t>
  </si>
  <si>
    <t xml:space="preserve">Número de cultivos líquidos realizados por IPS públicas y privadas de manera mensual. </t>
  </si>
  <si>
    <t xml:space="preserve">Número de Sintomáticos Respiratorios detectados por agentes comunitarios de manera mensual. </t>
  </si>
  <si>
    <t xml:space="preserve">Número de visitas de asistencia técnica realizadas en tuberculosis a las Empresas Administradoras de Planes de Beneficio. </t>
  </si>
  <si>
    <t xml:space="preserve">Número de personas bajo Tratamiento Directamente Observado domiciliario por equipos de salud pública </t>
  </si>
  <si>
    <t>Número de personas bajo Tratamiento Directamente Observado mediante modalidad Virtual (videollamada)</t>
  </si>
  <si>
    <t xml:space="preserve">TOTAL </t>
  </si>
  <si>
    <t>ACTIVIDADES TÉCNICAS DESARROLLADAS POR EL DEPARTAMENTO/DISTRITO</t>
  </si>
  <si>
    <t xml:space="preserve">AÑO: </t>
  </si>
  <si>
    <t xml:space="preserve"> Número de pacientes con TB Pulmonar diagnosticados en el mes. </t>
  </si>
  <si>
    <t xml:space="preserve">Número de IPS programadas para asistencias técnicas en el programa de tuberculosis de manera mensual. </t>
  </si>
  <si>
    <t xml:space="preserve">Número de IPS con asistencia técnica realizada en el programa de tuberculosis de manera mensual. </t>
  </si>
  <si>
    <t xml:space="preserve">Número de contactos reportados por la ET a las EAPB para descarte de TB activa. </t>
  </si>
  <si>
    <t xml:space="preserve">Número de pruebas moleculares realizadas por IPS públicas y privadas de manera mensual. </t>
  </si>
  <si>
    <t xml:space="preserve">Número de pruebas de sensibilidad moleculares realizadas por IPS públicas y privadas de manera mensual. </t>
  </si>
  <si>
    <t xml:space="preserve"> Número de pacientes TB extrapulmonar diagnosticados en el mes. </t>
  </si>
  <si>
    <t>Recursos financieros comprometidos de transferencias nacionales en talento humano (minimo 70%)</t>
  </si>
  <si>
    <t>Recursos financieros comprometidos de transferencias nacionales  en generación de capacidades.  (máximo el 10%)</t>
  </si>
  <si>
    <t>Recursos financieros comprometidos de transferencias nacionales para el abordaje poblaciones vulnerables. (máximo el 10%)</t>
  </si>
  <si>
    <t xml:space="preserve">Recursos financieros comprometidos de transferencias nacionales otros gastos (máximo el 10%) </t>
  </si>
  <si>
    <t xml:space="preserve">INFORME DE TALENTO HUMANO Y RECURSOS FINANCIEROS. </t>
  </si>
  <si>
    <t>Recursos asignados de recursos propios, regalias, u otras fuentes para la gestión del programa de TB (pesos)</t>
  </si>
  <si>
    <t xml:space="preserve"> Recursos asignados del  Sistema General de Participaciones- SGP para la gestión del programa de TB  (pesos)</t>
  </si>
  <si>
    <t>1.1</t>
  </si>
  <si>
    <t>1.2</t>
  </si>
  <si>
    <t>1.3</t>
  </si>
  <si>
    <t>1.4</t>
  </si>
  <si>
    <t xml:space="preserve">Número de capacitaciones realizadas a las instituciones prestadoras de servicios de salud en tuberculosis. </t>
  </si>
  <si>
    <t xml:space="preserve">Número de funcionarios capacitados y actualizados en los lineamientos del programa de tuberculosis. </t>
  </si>
  <si>
    <t xml:space="preserve">Número de personas de la comunidad sensibilizadas en la estrategia Engage TB. </t>
  </si>
  <si>
    <t>Numero de líderes certificados en la estrategia Engage TB o TDO Comunitario en TB.</t>
  </si>
  <si>
    <t xml:space="preserve">Número de personas con pérdida en el seguimiento al tratamiento reportadas en el mes. </t>
  </si>
  <si>
    <t xml:space="preserve">Número de personas con pérdida en el seguimiento que fueron recuperadas para reinicio de tratamiento en el mes. </t>
  </si>
  <si>
    <t xml:space="preserve">Número de visitas domiciliarias de seguimiento a personas con diagnóstico de Tuberculosis sensible. </t>
  </si>
  <si>
    <t>Número de visitas domiciliarias a personas con diagnóstico de Tuberculosis farmacoresistente.</t>
  </si>
  <si>
    <t xml:space="preserve">Número de personas con diagnóstico de TB remitidas a otras entidades territoriales para continuidad del TDO. </t>
  </si>
  <si>
    <t>Número de personas bajo Tratamiento Directamente Observado con apoyo comunitario (TDO Comunitario)</t>
  </si>
  <si>
    <t xml:space="preserve">Número de personas que inician profilaxis ene grupos prioritarios de manera mensual. </t>
  </si>
  <si>
    <t xml:space="preserve">Número de pacientes con TB Farmacoresistente diagnosticados en el mes. </t>
  </si>
  <si>
    <t xml:space="preserve">Número de pacientes con TB/VIH diagnosticados en el mes. </t>
  </si>
  <si>
    <t>Total, de recursos de transferencias nacionales asignados según vigencia. (pesos)</t>
  </si>
  <si>
    <t xml:space="preserve">MINISTERIO DE SALUD Y PROTECCIÓN SOCIAL
SUBDIRECCIÓN DE ENFERMEDADES TRANSMISIBLES
PROGRAMA NACIONAL DE TUBERCULOSIS
TABLERO DE REPORTE DE INDICADORES DE GESTIÓN PROGRAMATICA </t>
  </si>
  <si>
    <t xml:space="preserve">DEPÁRTAMENTO O DISTRITO </t>
  </si>
  <si>
    <t>Fecha:_</t>
  </si>
  <si>
    <t xml:space="preserve">NOMBRE DEL COORDINADOR DEL PROGRAMA DE TUBERCULOSIS </t>
  </si>
  <si>
    <t xml:space="preserve">INSTRUCCIONES </t>
  </si>
  <si>
    <t>VARIABLE</t>
  </si>
  <si>
    <t>Diligencia el año vigente del reporte</t>
  </si>
  <si>
    <t>Reporte el nombre del departamento o distrito según corresponda</t>
  </si>
  <si>
    <t xml:space="preserve">Indique el dia,. Mes y año de reporte </t>
  </si>
  <si>
    <t xml:space="preserve">Coloque el número de IPS que programa para las visitas de asistencia técnica en el mes. </t>
  </si>
  <si>
    <t xml:space="preserve">Consigne el número de IPS con visita de asistencia técnica realizada en el mes. </t>
  </si>
  <si>
    <t>Consigne el número de visitas de asistencia técnica que realiza mensualmente a las EAPB</t>
  </si>
  <si>
    <t xml:space="preserve">Indique el número de capacitaciones y actualizaciones que realizó al mes. </t>
  </si>
  <si>
    <t>Coloque el número de funcionarios o asistentes a las capacitaciones realizadas en el mes.</t>
  </si>
  <si>
    <t xml:space="preserve">Indique el número de personas de la comunidad sensibilizadas en la estratégia Engage TB </t>
  </si>
  <si>
    <t>Indique cuantos lideres comunitarios son certificados por la entidad territorial en Engage TB o TDO comunitario.</t>
  </si>
  <si>
    <t xml:space="preserve">Indique las personas que presenten pérdida en el seguimiento en el tratamiento en el mes. </t>
  </si>
  <si>
    <t xml:space="preserve">Indique del item 8 cuantas personas con pérdida en el seguimiento son recuperadas para reinicio al tratamiento en el mes. </t>
  </si>
  <si>
    <t xml:space="preserve">Indique cuantas visitas domiciliarias de seguimiento a casos de TB sensible desarrolló la ET en el mes. </t>
  </si>
  <si>
    <t xml:space="preserve">Indique cuantas visitas domiciliarias de seguimiento a casos de TB resistente desarrolló la ET en el mes. </t>
  </si>
  <si>
    <t xml:space="preserve">Coloque el número de contactos que identificó y remitio de manera efectiva a las EAPB para descarte de TB </t>
  </si>
  <si>
    <t xml:space="preserve">Número de personas con diagnóstico de TB que remite a otras entidades departamentales o distritales para continuidad del tratamiento directamente observado. </t>
  </si>
  <si>
    <t xml:space="preserve">Consigne el número de personas en tratamientos TDO virtual. </t>
  </si>
  <si>
    <t xml:space="preserve">Consigne el número de personas en tratamientos TDO realizados por equipos de salud pública a nivel domiciliario. </t>
  </si>
  <si>
    <t xml:space="preserve">Consigne el número de personas en tratamientos TDO comunitario (agentes comunitarios, organizaciones de la sociedad civil, entre otros).  </t>
  </si>
  <si>
    <t xml:space="preserve">Registre el número de personas nuevas que acceden a profilaxis mensualmente. </t>
  </si>
  <si>
    <t xml:space="preserve">Número de pacientes con TB/VIH nuevos diagnosticados en el mes. </t>
  </si>
  <si>
    <t xml:space="preserve">Consigne el número de personas que acceden a apoyos nutricionales,sociales u otros con que cuente la ET. </t>
  </si>
  <si>
    <t xml:space="preserve">Registre el número de SR que son detectados y derivados por parte de la comunidad, o agentes entrenados. </t>
  </si>
  <si>
    <t xml:space="preserve">Número de sintomáticos que son identificados y examinados por parte de las IPS. </t>
  </si>
  <si>
    <t xml:space="preserve">Número de pruebas moleculares que son realizadas mensualmente parte de las IPS. </t>
  </si>
  <si>
    <t xml:space="preserve">Número de cultivos líquidos que son realizados mensualmente parte de las IPS. </t>
  </si>
  <si>
    <t xml:space="preserve">Número de  pruebas de sensibilidad que son realizadas mensualmente parte de las IPS. </t>
  </si>
  <si>
    <t xml:space="preserve">Consigne el número de casos nuevos de pacientes reportados en el mes como pulmonar. </t>
  </si>
  <si>
    <t xml:space="preserve">Consigne el número de casos nuevos de pacientes reportados en el mes como extra pulmonar. </t>
  </si>
  <si>
    <t xml:space="preserve">Consigne el número de casos nuevos de pacientes reportados en el mes como TB resistente </t>
  </si>
  <si>
    <t>Consigne el número de casos nuevos de pacientes reportados en el mes como TB VIH</t>
  </si>
  <si>
    <t xml:space="preserve">Coloque el total de transferencias nacionales recibidas </t>
  </si>
  <si>
    <t xml:space="preserve">Indique el monto en pesos de transferencias destinadas para costeo de talento humano </t>
  </si>
  <si>
    <t>Indique el monto en pesos de transferencias destinadas para costeo de generación de capacidades</t>
  </si>
  <si>
    <t xml:space="preserve">Indique el monto en pesos de transferencias destinadas para costeo de abordaje población vulnerable </t>
  </si>
  <si>
    <t xml:space="preserve">Indique el monto de recursos que destina de otras fuentes anualmente derivados SGP </t>
  </si>
  <si>
    <t xml:space="preserve">Indique el monto en pesos de transferencias destinadas para costeo de otros gastos (viaticos, trasnporte de medicamentos otros) </t>
  </si>
  <si>
    <t xml:space="preserve">Indique el monto de recursos que destina de otras fuentes anualmente derivados recursos propios. </t>
  </si>
  <si>
    <t xml:space="preserve">Total de recursos de transferencias, SGP, otros destinados anualmente. </t>
  </si>
  <si>
    <t xml:space="preserve">Firma de la persona responsable del programa de TB. </t>
  </si>
  <si>
    <t xml:space="preserve">Número de personas de la comunidad sensibilizadas en la estrategia Engage TB o TDO Comunitario. </t>
  </si>
  <si>
    <t>Numero de líderes certificados en la estrategia Engage TB o TDO Comunitario.</t>
  </si>
  <si>
    <t xml:space="preserve">Número de personas afectadas por TB canalizadas a programas sociales o de protección (comedores comunitarios, bonos, subsidios, empleo, vivienda u otros).  </t>
  </si>
  <si>
    <t xml:space="preserve"> Número de pacientes con TB Pulmonar nuevos diagnosticados en el mes en la ET. </t>
  </si>
  <si>
    <t xml:space="preserve"> Número de pacientes TB extrapulmonar nuevos diagnosticados en el mes en la ET. </t>
  </si>
  <si>
    <t xml:space="preserve">Número de pacientes con TB Farmacoresistente nuevos  diagnosticados en el mes en la ET. </t>
  </si>
  <si>
    <t>Número de personas con TB que reciben Tratamiento Directamente Observado (Domiliciario)</t>
  </si>
  <si>
    <t xml:space="preserve">Número de personas bajo Tratamiento Directamente Observado con apoyo comunitario (TDO hospitalario) </t>
  </si>
  <si>
    <t xml:space="preserve">Número de casos de TB presentados en Comités de Evaluación de Casos Especiales de TB de manera mensual. </t>
  </si>
  <si>
    <t xml:space="preserve">Número de casos de TB con Unidades de Análisis de Mortalidad evitable de manera mensual. </t>
  </si>
  <si>
    <t xml:space="preserve">Número de personas que reciben tratamiento hospitalizados derivado de complicaciones de su estado de salud. </t>
  </si>
  <si>
    <t xml:space="preserve">Número de personas presentadas en Comités Departamentales o Regionales de casos especiales de TB </t>
  </si>
  <si>
    <t xml:space="preserve">Número de personas con mortalidad por TB a las cuales se les realizó unidad de análisis de mortalidad evitable. </t>
  </si>
  <si>
    <t xml:space="preserve">Número de Sintomáticos Respiratorios  SR captados por agentes comunitarios de manera mensual. </t>
  </si>
  <si>
    <t xml:space="preserve">Número de SR captados que se detectaron como positivos por agentes comunitarios de manera mensual. </t>
  </si>
  <si>
    <t xml:space="preserve">Número de baciloscopias realizadas por IPS públicas y privadas de manera mensual. </t>
  </si>
  <si>
    <t>Vigencia 2022</t>
  </si>
  <si>
    <t>Vigencia 2023</t>
  </si>
  <si>
    <t>NOMBRE DEL COORDINADOR DEL PROGRAMA DE TUBERCULOSIS DEPARTAMENTAL O DISTRITAL</t>
  </si>
  <si>
    <t>2023
%</t>
  </si>
  <si>
    <t>2022
%</t>
  </si>
  <si>
    <t xml:space="preserve">Porcentaje de ejecución </t>
  </si>
  <si>
    <t xml:space="preserve">Número total de pérsonas vinculadas al programa departamental o distrital en la vigencia: </t>
  </si>
  <si>
    <t>Recursos asignados del  Sistema General de Participaciones- SGP para la gestión del programa de TB  (pesos)</t>
  </si>
  <si>
    <t xml:space="preserve">NOMBRE DEL DEPARTAMENTO O DISTRITO:                                                                          FECHA: DD/MM/AA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</si>
</sst>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$&quot;* #,##0_-;\-&quot;$&quot;* #,##0_-;_-&quot;$&quot;* &quot;-&quot;_-;_-@_-"/>
    <numFmt numFmtId="41" formatCode="_-* #,##0_-;\-* #,##0_-;_-* &quot;-&quot;_-;_-@_-"/>
    <numFmt numFmtId="164" formatCode="_-* #,##0.0_-;\-* #,##0.0_-;_-* &quot;-&quot;_-;_-@_-"/>
  </numFmts>
  <fonts count="30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3"/>
      <color indexed="56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0" borderId="0" applyNumberFormat="0" applyBorder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1" borderId="0" applyNumberFormat="0" applyBorder="0" applyAlignment="0" applyProtection="0"/>
    <xf numFmtId="0" fontId="13" fillId="0" borderId="0"/>
    <xf numFmtId="0" fontId="8" fillId="16" borderId="3" applyNumberFormat="0" applyAlignment="0" applyProtection="0"/>
    <xf numFmtId="0" fontId="10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6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17" fillId="27" borderId="0" applyNumberFormat="0" applyBorder="0" applyAlignment="0" applyProtection="0"/>
    <xf numFmtId="0" fontId="18" fillId="39" borderId="1" applyNumberFormat="0" applyAlignment="0" applyProtection="0"/>
    <xf numFmtId="0" fontId="19" fillId="40" borderId="6" applyNumberFormat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4" borderId="0" applyNumberFormat="0" applyBorder="0" applyAlignment="0" applyProtection="0"/>
    <xf numFmtId="0" fontId="5" fillId="30" borderId="1" applyNumberFormat="0" applyAlignment="0" applyProtection="0"/>
    <xf numFmtId="0" fontId="6" fillId="26" borderId="0" applyNumberFormat="0" applyBorder="0" applyAlignment="0" applyProtection="0"/>
    <xf numFmtId="0" fontId="7" fillId="45" borderId="0" applyNumberFormat="0" applyBorder="0" applyAlignment="0" applyProtection="0"/>
    <xf numFmtId="0" fontId="16" fillId="0" borderId="0"/>
    <xf numFmtId="0" fontId="16" fillId="46" borderId="7" applyNumberFormat="0" applyFont="0" applyAlignment="0" applyProtection="0"/>
    <xf numFmtId="9" fontId="16" fillId="0" borderId="0" applyFont="0" applyFill="0" applyBorder="0" applyAlignment="0" applyProtection="0"/>
    <xf numFmtId="0" fontId="8" fillId="39" borderId="3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4" fillId="0" borderId="9" applyNumberFormat="0" applyFill="0" applyAlignment="0" applyProtection="0"/>
    <xf numFmtId="0" fontId="23" fillId="0" borderId="0"/>
    <xf numFmtId="0" fontId="18" fillId="39" borderId="10" applyNumberFormat="0" applyAlignment="0" applyProtection="0"/>
    <xf numFmtId="0" fontId="5" fillId="30" borderId="10" applyNumberFormat="0" applyAlignment="0" applyProtection="0"/>
    <xf numFmtId="0" fontId="23" fillId="0" borderId="0"/>
    <xf numFmtId="0" fontId="23" fillId="46" borderId="7" applyNumberFormat="0" applyFont="0" applyAlignment="0" applyProtection="0"/>
    <xf numFmtId="0" fontId="8" fillId="39" borderId="11" applyNumberFormat="0" applyAlignment="0" applyProtection="0"/>
    <xf numFmtId="0" fontId="9" fillId="0" borderId="12" applyNumberFormat="0" applyFill="0" applyAlignment="0" applyProtection="0"/>
    <xf numFmtId="41" fontId="13" fillId="0" borderId="0" applyFont="0" applyFill="0" applyBorder="0" applyAlignment="0" applyProtection="0"/>
    <xf numFmtId="42" fontId="13" fillId="0" borderId="0" applyFont="0" applyFill="0" applyBorder="0" applyAlignment="0" applyProtection="0"/>
  </cellStyleXfs>
  <cellXfs count="98">
    <xf numFmtId="0" fontId="0" fillId="0" borderId="0" xfId="0"/>
    <xf numFmtId="0" fontId="0" fillId="23" borderId="0" xfId="0" applyFill="1"/>
    <xf numFmtId="0" fontId="0" fillId="23" borderId="0" xfId="0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0" fillId="23" borderId="0" xfId="0" applyFill="1" applyAlignment="1">
      <alignment horizontal="left" vertical="center"/>
    </xf>
    <xf numFmtId="0" fontId="0" fillId="24" borderId="0" xfId="0" applyFill="1"/>
    <xf numFmtId="0" fontId="0" fillId="22" borderId="0" xfId="0" applyFill="1"/>
    <xf numFmtId="0" fontId="15" fillId="23" borderId="0" xfId="0" applyFont="1" applyFill="1"/>
    <xf numFmtId="0" fontId="0" fillId="23" borderId="19" xfId="0" applyFill="1" applyBorder="1" applyAlignment="1" applyProtection="1">
      <alignment horizontal="center" vertical="center" wrapText="1"/>
      <protection locked="0"/>
    </xf>
    <xf numFmtId="0" fontId="11" fillId="23" borderId="22" xfId="0" applyFont="1" applyFill="1" applyBorder="1" applyAlignment="1" applyProtection="1">
      <alignment horizontal="center" vertical="center" wrapText="1"/>
      <protection locked="0"/>
    </xf>
    <xf numFmtId="0" fontId="11" fillId="23" borderId="23" xfId="0" applyFont="1" applyFill="1" applyBorder="1" applyAlignment="1" applyProtection="1">
      <alignment horizontal="center" vertical="center" wrapText="1"/>
      <protection locked="0"/>
    </xf>
    <xf numFmtId="0" fontId="11" fillId="23" borderId="23" xfId="0" applyFont="1" applyFill="1" applyBorder="1" applyAlignment="1">
      <alignment horizontal="center" vertical="center" wrapText="1"/>
    </xf>
    <xf numFmtId="0" fontId="12" fillId="23" borderId="14" xfId="0" applyFont="1" applyFill="1" applyBorder="1" applyAlignment="1">
      <alignment horizontal="center" vertical="center" wrapText="1"/>
    </xf>
    <xf numFmtId="0" fontId="11" fillId="23" borderId="21" xfId="0" applyFont="1" applyFill="1" applyBorder="1" applyAlignment="1" applyProtection="1">
      <alignment horizontal="center" vertical="center" wrapText="1"/>
      <protection locked="0"/>
    </xf>
    <xf numFmtId="0" fontId="11" fillId="23" borderId="25" xfId="0" applyFont="1" applyFill="1" applyBorder="1" applyAlignment="1" applyProtection="1">
      <alignment horizontal="center" vertical="center" wrapText="1"/>
      <protection locked="0"/>
    </xf>
    <xf numFmtId="0" fontId="0" fillId="23" borderId="20" xfId="0" applyFill="1" applyBorder="1" applyAlignment="1" applyProtection="1">
      <alignment horizontal="center" vertical="center" wrapText="1"/>
      <protection locked="0"/>
    </xf>
    <xf numFmtId="1" fontId="11" fillId="23" borderId="20" xfId="0" applyNumberFormat="1" applyFont="1" applyFill="1" applyBorder="1" applyAlignment="1">
      <alignment horizontal="center" vertical="center" wrapText="1"/>
    </xf>
    <xf numFmtId="0" fontId="0" fillId="23" borderId="5" xfId="0" applyFill="1" applyBorder="1" applyAlignment="1" applyProtection="1">
      <alignment horizontal="center" vertical="center" wrapText="1"/>
      <protection locked="0"/>
    </xf>
    <xf numFmtId="0" fontId="0" fillId="23" borderId="28" xfId="0" applyFill="1" applyBorder="1" applyAlignment="1" applyProtection="1">
      <alignment horizontal="center" vertical="center" wrapText="1"/>
      <protection locked="0"/>
    </xf>
    <xf numFmtId="0" fontId="12" fillId="23" borderId="27" xfId="0" applyFont="1" applyFill="1" applyBorder="1" applyAlignment="1">
      <alignment horizontal="center" vertical="center" wrapText="1"/>
    </xf>
    <xf numFmtId="0" fontId="13" fillId="0" borderId="30" xfId="0" applyFont="1" applyBorder="1" applyAlignment="1" applyProtection="1">
      <alignment horizontal="center" vertical="top" wrapText="1"/>
      <protection locked="0"/>
    </xf>
    <xf numFmtId="0" fontId="0" fillId="23" borderId="29" xfId="0" applyFill="1" applyBorder="1" applyAlignment="1" applyProtection="1">
      <alignment horizontal="center" vertical="center" wrapText="1"/>
      <protection locked="0"/>
    </xf>
    <xf numFmtId="0" fontId="0" fillId="23" borderId="31" xfId="0" applyFill="1" applyBorder="1" applyAlignment="1" applyProtection="1">
      <alignment horizontal="center" vertical="center" wrapText="1"/>
      <protection locked="0"/>
    </xf>
    <xf numFmtId="0" fontId="0" fillId="23" borderId="32" xfId="0" applyFill="1" applyBorder="1" applyAlignment="1" applyProtection="1">
      <alignment horizontal="center" vertical="center" wrapText="1"/>
      <protection locked="0"/>
    </xf>
    <xf numFmtId="0" fontId="0" fillId="23" borderId="0" xfId="0" applyFill="1" applyAlignment="1">
      <alignment vertical="center"/>
    </xf>
    <xf numFmtId="0" fontId="0" fillId="23" borderId="30" xfId="0" applyFill="1" applyBorder="1" applyAlignment="1" applyProtection="1">
      <alignment horizontal="center" vertical="center" wrapText="1"/>
      <protection locked="0"/>
    </xf>
    <xf numFmtId="0" fontId="0" fillId="23" borderId="0" xfId="0" applyFill="1" applyAlignment="1">
      <alignment horizontal="center"/>
    </xf>
    <xf numFmtId="0" fontId="11" fillId="47" borderId="33" xfId="0" applyFont="1" applyFill="1" applyBorder="1"/>
    <xf numFmtId="0" fontId="11" fillId="47" borderId="35" xfId="0" applyFont="1" applyFill="1" applyBorder="1"/>
    <xf numFmtId="0" fontId="0" fillId="48" borderId="38" xfId="0" applyFill="1" applyBorder="1" applyAlignment="1">
      <alignment vertical="center"/>
    </xf>
    <xf numFmtId="0" fontId="11" fillId="23" borderId="38" xfId="0" applyFont="1" applyFill="1" applyBorder="1" applyAlignment="1">
      <alignment horizontal="center"/>
    </xf>
    <xf numFmtId="0" fontId="13" fillId="0" borderId="39" xfId="0" applyFont="1" applyBorder="1" applyAlignment="1" applyProtection="1">
      <alignment horizontal="center" vertical="top" wrapText="1"/>
      <protection locked="0"/>
    </xf>
    <xf numFmtId="0" fontId="13" fillId="0" borderId="40" xfId="0" applyFont="1" applyBorder="1" applyAlignment="1" applyProtection="1">
      <alignment horizontal="center" vertical="top" wrapText="1"/>
      <protection locked="0"/>
    </xf>
    <xf numFmtId="0" fontId="11" fillId="23" borderId="38" xfId="0" applyFont="1" applyFill="1" applyBorder="1" applyAlignment="1">
      <alignment horizontal="center" vertical="top" wrapText="1"/>
    </xf>
    <xf numFmtId="0" fontId="25" fillId="0" borderId="38" xfId="0" applyFont="1" applyBorder="1" applyAlignment="1">
      <alignment vertical="center" wrapText="1"/>
    </xf>
    <xf numFmtId="0" fontId="25" fillId="48" borderId="38" xfId="0" applyFont="1" applyFill="1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13" fillId="0" borderId="38" xfId="0" applyFont="1" applyBorder="1" applyAlignment="1" applyProtection="1">
      <alignment horizontal="center" vertical="top" wrapText="1"/>
      <protection locked="0"/>
    </xf>
    <xf numFmtId="0" fontId="0" fillId="0" borderId="0" xfId="0" applyAlignment="1">
      <alignment wrapText="1"/>
    </xf>
    <xf numFmtId="0" fontId="11" fillId="0" borderId="0" xfId="0" applyFont="1" applyAlignment="1">
      <alignment horizontal="center"/>
    </xf>
    <xf numFmtId="0" fontId="11" fillId="49" borderId="0" xfId="0" applyFont="1" applyFill="1" applyAlignment="1">
      <alignment horizontal="center" wrapText="1"/>
    </xf>
    <xf numFmtId="0" fontId="25" fillId="0" borderId="39" xfId="0" applyFont="1" applyBorder="1" applyAlignment="1">
      <alignment vertical="center" wrapText="1"/>
    </xf>
    <xf numFmtId="0" fontId="13" fillId="0" borderId="44" xfId="0" applyFont="1" applyBorder="1" applyAlignment="1" applyProtection="1">
      <alignment horizontal="center" vertical="top" wrapText="1"/>
      <protection locked="0"/>
    </xf>
    <xf numFmtId="0" fontId="0" fillId="23" borderId="38" xfId="0" applyFill="1" applyBorder="1" applyAlignment="1" applyProtection="1">
      <alignment horizontal="center" vertical="center" wrapText="1"/>
      <protection locked="0"/>
    </xf>
    <xf numFmtId="1" fontId="11" fillId="23" borderId="38" xfId="0" applyNumberFormat="1" applyFont="1" applyFill="1" applyBorder="1" applyAlignment="1">
      <alignment horizontal="center" vertical="center" wrapText="1"/>
    </xf>
    <xf numFmtId="0" fontId="11" fillId="23" borderId="38" xfId="0" applyFont="1" applyFill="1" applyBorder="1" applyAlignment="1">
      <alignment horizontal="left"/>
    </xf>
    <xf numFmtId="0" fontId="11" fillId="23" borderId="38" xfId="0" applyFont="1" applyFill="1" applyBorder="1" applyAlignment="1">
      <alignment horizontal="left" wrapText="1"/>
    </xf>
    <xf numFmtId="0" fontId="11" fillId="23" borderId="38" xfId="0" applyFont="1" applyFill="1" applyBorder="1" applyAlignment="1">
      <alignment horizontal="left" vertical="center"/>
    </xf>
    <xf numFmtId="0" fontId="0" fillId="23" borderId="38" xfId="0" applyFill="1" applyBorder="1" applyAlignment="1">
      <alignment horizontal="left" wrapText="1"/>
    </xf>
    <xf numFmtId="0" fontId="11" fillId="23" borderId="5" xfId="0" applyFont="1" applyFill="1" applyBorder="1" applyAlignment="1">
      <alignment horizontal="center" vertical="center" wrapText="1"/>
    </xf>
    <xf numFmtId="1" fontId="11" fillId="23" borderId="18" xfId="0" applyNumberFormat="1" applyFont="1" applyFill="1" applyBorder="1" applyAlignment="1">
      <alignment horizontal="center" vertical="center" wrapText="1"/>
    </xf>
    <xf numFmtId="0" fontId="11" fillId="23" borderId="20" xfId="0" applyFont="1" applyFill="1" applyBorder="1" applyAlignment="1">
      <alignment horizontal="center" vertical="center" wrapText="1"/>
    </xf>
    <xf numFmtId="0" fontId="0" fillId="48" borderId="45" xfId="0" applyFill="1" applyBorder="1" applyAlignment="1">
      <alignment vertical="center"/>
    </xf>
    <xf numFmtId="0" fontId="11" fillId="23" borderId="45" xfId="0" applyFont="1" applyFill="1" applyBorder="1" applyAlignment="1">
      <alignment horizontal="center"/>
    </xf>
    <xf numFmtId="0" fontId="13" fillId="0" borderId="46" xfId="0" applyFont="1" applyBorder="1" applyAlignment="1" applyProtection="1">
      <alignment horizontal="center" vertical="top" wrapText="1"/>
      <protection locked="0"/>
    </xf>
    <xf numFmtId="0" fontId="13" fillId="0" borderId="45" xfId="0" applyFont="1" applyBorder="1" applyAlignment="1" applyProtection="1">
      <alignment horizontal="center" vertical="top" wrapText="1"/>
      <protection locked="0"/>
    </xf>
    <xf numFmtId="0" fontId="25" fillId="0" borderId="45" xfId="0" applyFont="1" applyBorder="1" applyAlignment="1">
      <alignment vertical="center" wrapText="1"/>
    </xf>
    <xf numFmtId="0" fontId="26" fillId="23" borderId="0" xfId="0" applyFont="1" applyFill="1" applyAlignment="1">
      <alignment horizontal="center" vertical="center"/>
    </xf>
    <xf numFmtId="9" fontId="24" fillId="47" borderId="49" xfId="0" applyNumberFormat="1" applyFont="1" applyFill="1" applyBorder="1" applyAlignment="1">
      <alignment vertical="center" wrapText="1"/>
    </xf>
    <xf numFmtId="0" fontId="24" fillId="47" borderId="48" xfId="0" applyFont="1" applyFill="1" applyBorder="1" applyAlignment="1">
      <alignment vertical="center" wrapText="1"/>
    </xf>
    <xf numFmtId="0" fontId="26" fillId="23" borderId="0" xfId="0" applyFont="1" applyFill="1" applyAlignment="1">
      <alignment vertical="center"/>
    </xf>
    <xf numFmtId="0" fontId="11" fillId="23" borderId="0" xfId="0" applyFont="1" applyFill="1" applyAlignment="1">
      <alignment vertical="center"/>
    </xf>
    <xf numFmtId="0" fontId="11" fillId="23" borderId="0" xfId="0" applyFont="1" applyFill="1" applyAlignment="1" applyProtection="1">
      <alignment horizontal="center" vertical="center"/>
      <protection locked="0"/>
    </xf>
    <xf numFmtId="0" fontId="11" fillId="23" borderId="47" xfId="0" applyFont="1" applyFill="1" applyBorder="1" applyAlignment="1">
      <alignment horizontal="center"/>
    </xf>
    <xf numFmtId="0" fontId="11" fillId="48" borderId="29" xfId="0" applyFont="1" applyFill="1" applyBorder="1" applyAlignment="1">
      <alignment horizontal="right" vertical="center"/>
    </xf>
    <xf numFmtId="41" fontId="0" fillId="23" borderId="47" xfId="80" applyFont="1" applyFill="1" applyBorder="1" applyAlignment="1" applyProtection="1">
      <alignment horizontal="center" vertical="top"/>
    </xf>
    <xf numFmtId="1" fontId="0" fillId="23" borderId="50" xfId="0" applyNumberFormat="1" applyFill="1" applyBorder="1" applyAlignment="1">
      <alignment horizontal="center" vertical="top"/>
    </xf>
    <xf numFmtId="164" fontId="0" fillId="23" borderId="50" xfId="80" applyNumberFormat="1" applyFont="1" applyFill="1" applyBorder="1" applyAlignment="1" applyProtection="1">
      <alignment horizontal="center" vertical="top"/>
    </xf>
    <xf numFmtId="164" fontId="0" fillId="23" borderId="47" xfId="80" applyNumberFormat="1" applyFont="1" applyFill="1" applyBorder="1" applyAlignment="1" applyProtection="1">
      <alignment horizontal="center" vertical="top"/>
    </xf>
    <xf numFmtId="41" fontId="27" fillId="23" borderId="50" xfId="0" applyNumberFormat="1" applyFont="1" applyFill="1" applyBorder="1" applyAlignment="1">
      <alignment horizontal="center" vertical="top"/>
    </xf>
    <xf numFmtId="41" fontId="27" fillId="23" borderId="47" xfId="0" applyNumberFormat="1" applyFont="1" applyFill="1" applyBorder="1" applyAlignment="1">
      <alignment horizontal="center" vertical="top"/>
    </xf>
    <xf numFmtId="0" fontId="11" fillId="48" borderId="38" xfId="0" applyFont="1" applyFill="1" applyBorder="1" applyAlignment="1">
      <alignment vertical="center"/>
    </xf>
    <xf numFmtId="0" fontId="11" fillId="48" borderId="45" xfId="0" applyFont="1" applyFill="1" applyBorder="1" applyAlignment="1">
      <alignment vertical="center"/>
    </xf>
    <xf numFmtId="0" fontId="11" fillId="48" borderId="47" xfId="0" applyFont="1" applyFill="1" applyBorder="1" applyAlignment="1">
      <alignment horizontal="left" vertical="center"/>
    </xf>
    <xf numFmtId="42" fontId="13" fillId="23" borderId="47" xfId="81" applyFont="1" applyFill="1" applyBorder="1" applyAlignment="1" applyProtection="1">
      <alignment horizontal="center" vertical="center"/>
      <protection locked="0"/>
    </xf>
    <xf numFmtId="1" fontId="11" fillId="23" borderId="53" xfId="0" applyNumberFormat="1" applyFont="1" applyFill="1" applyBorder="1" applyAlignment="1" applyProtection="1">
      <alignment horizontal="center" vertical="center"/>
      <protection locked="0"/>
    </xf>
    <xf numFmtId="1" fontId="11" fillId="23" borderId="54" xfId="0" applyNumberFormat="1" applyFont="1" applyFill="1" applyBorder="1" applyAlignment="1" applyProtection="1">
      <alignment horizontal="center" vertical="center"/>
      <protection locked="0"/>
    </xf>
    <xf numFmtId="1" fontId="11" fillId="23" borderId="52" xfId="0" applyNumberFormat="1" applyFont="1" applyFill="1" applyBorder="1" applyAlignment="1" applyProtection="1">
      <alignment horizontal="center" vertical="center"/>
      <protection locked="0"/>
    </xf>
    <xf numFmtId="0" fontId="0" fillId="23" borderId="51" xfId="0" applyFill="1" applyBorder="1" applyAlignment="1" applyProtection="1">
      <alignment horizontal="center" vertical="center"/>
      <protection locked="0"/>
    </xf>
    <xf numFmtId="0" fontId="24" fillId="23" borderId="42" xfId="0" applyFont="1" applyFill="1" applyBorder="1" applyAlignment="1">
      <alignment horizontal="center" vertical="top" wrapText="1"/>
    </xf>
    <xf numFmtId="0" fontId="24" fillId="23" borderId="43" xfId="0" applyFont="1" applyFill="1" applyBorder="1" applyAlignment="1">
      <alignment horizontal="center" vertical="top" wrapText="1"/>
    </xf>
    <xf numFmtId="0" fontId="0" fillId="23" borderId="0" xfId="0" applyFill="1" applyAlignment="1">
      <alignment horizontal="center" vertical="center"/>
    </xf>
    <xf numFmtId="42" fontId="11" fillId="23" borderId="47" xfId="81" applyFont="1" applyFill="1" applyBorder="1" applyAlignment="1" applyProtection="1">
      <alignment horizontal="center" vertical="center"/>
      <protection locked="0"/>
    </xf>
    <xf numFmtId="0" fontId="24" fillId="47" borderId="33" xfId="0" applyFont="1" applyFill="1" applyBorder="1" applyAlignment="1">
      <alignment horizontal="center" vertical="center"/>
    </xf>
    <xf numFmtId="0" fontId="24" fillId="47" borderId="34" xfId="0" applyFont="1" applyFill="1" applyBorder="1" applyAlignment="1">
      <alignment horizontal="center" vertical="center"/>
    </xf>
    <xf numFmtId="0" fontId="24" fillId="47" borderId="35" xfId="0" applyFont="1" applyFill="1" applyBorder="1" applyAlignment="1">
      <alignment horizontal="center" vertical="center"/>
    </xf>
    <xf numFmtId="0" fontId="24" fillId="23" borderId="15" xfId="0" applyFont="1" applyFill="1" applyBorder="1" applyAlignment="1" applyProtection="1">
      <alignment horizontal="center" vertical="center" wrapText="1"/>
      <protection locked="0"/>
    </xf>
    <xf numFmtId="0" fontId="24" fillId="23" borderId="36" xfId="0" applyFont="1" applyFill="1" applyBorder="1" applyAlignment="1" applyProtection="1">
      <alignment horizontal="center" vertical="center" wrapText="1"/>
      <protection locked="0"/>
    </xf>
    <xf numFmtId="0" fontId="11" fillId="47" borderId="13" xfId="0" applyFont="1" applyFill="1" applyBorder="1" applyAlignment="1">
      <alignment horizontal="center" vertical="center" wrapText="1"/>
    </xf>
    <xf numFmtId="0" fontId="11" fillId="47" borderId="14" xfId="0" applyFont="1" applyFill="1" applyBorder="1" applyAlignment="1">
      <alignment horizontal="center" vertical="center" wrapText="1"/>
    </xf>
    <xf numFmtId="0" fontId="11" fillId="47" borderId="41" xfId="0" applyFont="1" applyFill="1" applyBorder="1" applyAlignment="1">
      <alignment horizontal="center" vertical="center" wrapText="1"/>
    </xf>
    <xf numFmtId="0" fontId="11" fillId="47" borderId="37" xfId="0" applyFont="1" applyFill="1" applyBorder="1" applyAlignment="1">
      <alignment horizontal="center" vertical="center" wrapText="1"/>
    </xf>
    <xf numFmtId="0" fontId="24" fillId="23" borderId="16" xfId="0" applyFont="1" applyFill="1" applyBorder="1" applyAlignment="1" applyProtection="1">
      <alignment horizontal="center" vertical="center" wrapText="1"/>
      <protection locked="0"/>
    </xf>
    <xf numFmtId="0" fontId="24" fillId="23" borderId="17" xfId="0" applyFont="1" applyFill="1" applyBorder="1" applyAlignment="1" applyProtection="1">
      <alignment horizontal="center" vertical="center" wrapText="1"/>
      <protection locked="0"/>
    </xf>
    <xf numFmtId="0" fontId="12" fillId="23" borderId="24" xfId="0" applyFont="1" applyFill="1" applyBorder="1" applyAlignment="1">
      <alignment horizontal="center" vertical="center" wrapText="1"/>
    </xf>
    <xf numFmtId="0" fontId="12" fillId="23" borderId="26" xfId="0" applyFont="1" applyFill="1" applyBorder="1" applyAlignment="1">
      <alignment horizontal="center" vertical="center" wrapText="1"/>
    </xf>
    <xf numFmtId="42" fontId="11" fillId="23" borderId="47" xfId="0" applyNumberFormat="1" applyFont="1" applyFill="1" applyBorder="1" applyAlignment="1" applyProtection="1">
      <alignment horizontal="center" vertical="center"/>
      <protection locked="0"/>
    </xf>
    <xf numFmtId="0" fontId="11" fillId="23" borderId="47" xfId="0" applyFont="1" applyFill="1" applyBorder="1" applyAlignment="1" applyProtection="1">
      <alignment horizontal="center" vertical="center"/>
      <protection locked="0"/>
    </xf>
  </cellXfs>
  <cellStyles count="82">
    <cellStyle name="20% - Énfasis1" xfId="1" builtinId="30" customBuiltin="1"/>
    <cellStyle name="20% - Énfasis1 2" xfId="35"/>
    <cellStyle name="20% - Énfasis2" xfId="2" builtinId="34" customBuiltin="1"/>
    <cellStyle name="20% - Énfasis2 2" xfId="36"/>
    <cellStyle name="20% - Énfasis3" xfId="3" builtinId="38" customBuiltin="1"/>
    <cellStyle name="20% - Énfasis3 2" xfId="37"/>
    <cellStyle name="20% - Énfasis4" xfId="4" builtinId="42" customBuiltin="1"/>
    <cellStyle name="20% - Énfasis4 2" xfId="38"/>
    <cellStyle name="20% - Énfasis5" xfId="5" builtinId="46" customBuiltin="1"/>
    <cellStyle name="20% - Énfasis5 2" xfId="39"/>
    <cellStyle name="20% - Énfasis6" xfId="6" builtinId="50" customBuiltin="1"/>
    <cellStyle name="20% - Énfasis6 2" xfId="40"/>
    <cellStyle name="40% - Énfasis1" xfId="7" builtinId="31" customBuiltin="1"/>
    <cellStyle name="40% - Énfasis1 2" xfId="41"/>
    <cellStyle name="40% - Énfasis2" xfId="8" builtinId="35" customBuiltin="1"/>
    <cellStyle name="40% - Énfasis2 2" xfId="42"/>
    <cellStyle name="40% - Énfasis3" xfId="9" builtinId="39" customBuiltin="1"/>
    <cellStyle name="40% - Énfasis3 2" xfId="43"/>
    <cellStyle name="40% - Énfasis4" xfId="10" builtinId="43" customBuiltin="1"/>
    <cellStyle name="40% - Énfasis4 2" xfId="44"/>
    <cellStyle name="40% - Énfasis5" xfId="11" builtinId="47" customBuiltin="1"/>
    <cellStyle name="40% - Énfasis5 2" xfId="45"/>
    <cellStyle name="40% - Énfasis6" xfId="12" builtinId="51" customBuiltin="1"/>
    <cellStyle name="40% - Énfasis6 2" xfId="46"/>
    <cellStyle name="60% - Énfasis1" xfId="13" builtinId="32" customBuiltin="1"/>
    <cellStyle name="60% - Énfasis1 2" xfId="47"/>
    <cellStyle name="60% - Énfasis2" xfId="14" builtinId="36" customBuiltin="1"/>
    <cellStyle name="60% - Énfasis2 2" xfId="48"/>
    <cellStyle name="60% - Énfasis3" xfId="15" builtinId="40" customBuiltin="1"/>
    <cellStyle name="60% - Énfasis3 2" xfId="49"/>
    <cellStyle name="60% - Énfasis4" xfId="16" builtinId="44" customBuiltin="1"/>
    <cellStyle name="60% - Énfasis4 2" xfId="50"/>
    <cellStyle name="60% - Énfasis5" xfId="17" builtinId="48" customBuiltin="1"/>
    <cellStyle name="60% - Énfasis5 2" xfId="51"/>
    <cellStyle name="60% - Énfasis6" xfId="18" builtinId="52" customBuiltin="1"/>
    <cellStyle name="60% - Énfasis6 2" xfId="52"/>
    <cellStyle name="Buena 2" xfId="53"/>
    <cellStyle name="Cálculo 2" xfId="54"/>
    <cellStyle name="Cálculo 3" xfId="74"/>
    <cellStyle name="Celda de comprobación 2" xfId="55"/>
    <cellStyle name="Celda vinculada" xfId="19" builtinId="24" customBuiltin="1"/>
    <cellStyle name="Encabezado 4" xfId="20" builtinId="19" customBuiltin="1"/>
    <cellStyle name="Énfasis1" xfId="21" builtinId="29" customBuiltin="1"/>
    <cellStyle name="Énfasis1 2" xfId="56"/>
    <cellStyle name="Énfasis2" xfId="22" builtinId="33" customBuiltin="1"/>
    <cellStyle name="Énfasis2 2" xfId="57"/>
    <cellStyle name="Énfasis3" xfId="23" builtinId="37" customBuiltin="1"/>
    <cellStyle name="Énfasis3 2" xfId="58"/>
    <cellStyle name="Énfasis4" xfId="24" builtinId="41" customBuiltin="1"/>
    <cellStyle name="Énfasis4 2" xfId="59"/>
    <cellStyle name="Énfasis5" xfId="25" builtinId="45" customBuiltin="1"/>
    <cellStyle name="Énfasis5 2" xfId="60"/>
    <cellStyle name="Énfasis6" xfId="26" builtinId="49" customBuiltin="1"/>
    <cellStyle name="Énfasis6 2" xfId="61"/>
    <cellStyle name="Entrada" xfId="27" builtinId="20" customBuiltin="1"/>
    <cellStyle name="Entrada 2" xfId="62"/>
    <cellStyle name="Entrada 3" xfId="75"/>
    <cellStyle name="Incorrecto" xfId="28" builtinId="27" customBuiltin="1"/>
    <cellStyle name="Incorrecto 2" xfId="63"/>
    <cellStyle name="Millares [0]" xfId="80" builtinId="6"/>
    <cellStyle name="Moneda [0]" xfId="81" builtinId="7"/>
    <cellStyle name="Neutral" xfId="29" builtinId="28" customBuiltin="1"/>
    <cellStyle name="Neutral 2" xfId="64"/>
    <cellStyle name="Normal" xfId="0" builtinId="0"/>
    <cellStyle name="Normal 2" xfId="34"/>
    <cellStyle name="Normal 3" xfId="30"/>
    <cellStyle name="Normal 3 2" xfId="65"/>
    <cellStyle name="Normal 3 3" xfId="76"/>
    <cellStyle name="Normal 4" xfId="73"/>
    <cellStyle name="Notas 2" xfId="66"/>
    <cellStyle name="Notas 3" xfId="77"/>
    <cellStyle name="Porcentaje 2" xfId="67"/>
    <cellStyle name="Salida" xfId="31" builtinId="21" customBuiltin="1"/>
    <cellStyle name="Salida 2" xfId="68"/>
    <cellStyle name="Salida 3" xfId="78"/>
    <cellStyle name="Texto de advertencia 2" xfId="69"/>
    <cellStyle name="Texto explicativo 2" xfId="70"/>
    <cellStyle name="Título" xfId="32" builtinId="15" customBuiltin="1"/>
    <cellStyle name="Título 2 2" xfId="71"/>
    <cellStyle name="Título 3 2" xfId="72"/>
    <cellStyle name="Total" xfId="33" builtinId="25" customBuiltin="1"/>
    <cellStyle name="Total 2" xfId="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70037</xdr:colOff>
      <xdr:row>0</xdr:row>
      <xdr:rowOff>182095</xdr:rowOff>
    </xdr:from>
    <xdr:to>
      <xdr:col>18</xdr:col>
      <xdr:colOff>154082</xdr:colOff>
      <xdr:row>0</xdr:row>
      <xdr:rowOff>1022536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0221" y="182095"/>
          <a:ext cx="4846545" cy="84044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8"/>
  <sheetViews>
    <sheetView tabSelected="1" view="pageBreakPreview" zoomScale="77" zoomScaleNormal="68" zoomScaleSheetLayoutView="77" zoomScalePageLayoutView="112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M9" sqref="M9"/>
    </sheetView>
  </sheetViews>
  <sheetFormatPr baseColWidth="10" defaultColWidth="11.42578125" defaultRowHeight="12.75" x14ac:dyDescent="0.2"/>
  <cols>
    <col min="1" max="1" width="11.42578125" style="1"/>
    <col min="2" max="2" width="111" style="4" customWidth="1"/>
    <col min="3" max="5" width="7.7109375" style="2" customWidth="1"/>
    <col min="6" max="6" width="7.7109375" style="3" customWidth="1"/>
    <col min="7" max="8" width="7.7109375" style="2" customWidth="1"/>
    <col min="9" max="9" width="9.140625" style="2" customWidth="1"/>
    <col min="10" max="10" width="9" style="2" customWidth="1"/>
    <col min="11" max="17" width="7.7109375" style="2" customWidth="1"/>
    <col min="18" max="18" width="8" style="2" customWidth="1"/>
    <col min="19" max="19" width="11.42578125" style="2" customWidth="1"/>
    <col min="20" max="16384" width="11.42578125" style="1"/>
  </cols>
  <sheetData>
    <row r="1" spans="1:19" ht="90.75" customHeight="1" thickBot="1" x14ac:dyDescent="0.25">
      <c r="B1" s="79" t="s">
        <v>68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 spans="1:19" s="7" customFormat="1" ht="45.75" customHeight="1" thickBot="1" x14ac:dyDescent="0.3">
      <c r="A2" s="86" t="s">
        <v>35</v>
      </c>
      <c r="B2" s="87"/>
      <c r="C2" s="86" t="s">
        <v>138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</row>
    <row r="3" spans="1:19" ht="15" customHeight="1" x14ac:dyDescent="0.2">
      <c r="A3" s="88" t="s">
        <v>34</v>
      </c>
      <c r="B3" s="89"/>
      <c r="C3" s="9" t="s">
        <v>0</v>
      </c>
      <c r="D3" s="10" t="s">
        <v>1</v>
      </c>
      <c r="E3" s="11" t="s">
        <v>2</v>
      </c>
      <c r="F3" s="94" t="s">
        <v>3</v>
      </c>
      <c r="G3" s="11" t="s">
        <v>4</v>
      </c>
      <c r="H3" s="11" t="s">
        <v>5</v>
      </c>
      <c r="I3" s="11" t="s">
        <v>6</v>
      </c>
      <c r="J3" s="94" t="s">
        <v>7</v>
      </c>
      <c r="K3" s="11" t="s">
        <v>8</v>
      </c>
      <c r="L3" s="11" t="s">
        <v>9</v>
      </c>
      <c r="M3" s="11" t="s">
        <v>10</v>
      </c>
      <c r="N3" s="94" t="s">
        <v>11</v>
      </c>
      <c r="O3" s="11" t="s">
        <v>12</v>
      </c>
      <c r="P3" s="11" t="s">
        <v>13</v>
      </c>
      <c r="Q3" s="11" t="s">
        <v>14</v>
      </c>
      <c r="R3" s="94" t="s">
        <v>15</v>
      </c>
      <c r="S3" s="12" t="s">
        <v>25</v>
      </c>
    </row>
    <row r="4" spans="1:19" ht="15" customHeight="1" thickBot="1" x14ac:dyDescent="0.25">
      <c r="A4" s="90"/>
      <c r="B4" s="91"/>
      <c r="C4" s="14" t="s">
        <v>16</v>
      </c>
      <c r="D4" s="13" t="s">
        <v>17</v>
      </c>
      <c r="E4" s="13" t="s">
        <v>18</v>
      </c>
      <c r="F4" s="95"/>
      <c r="G4" s="13" t="s">
        <v>19</v>
      </c>
      <c r="H4" s="13" t="s">
        <v>18</v>
      </c>
      <c r="I4" s="13" t="s">
        <v>20</v>
      </c>
      <c r="J4" s="95"/>
      <c r="K4" s="13" t="s">
        <v>20</v>
      </c>
      <c r="L4" s="13" t="s">
        <v>19</v>
      </c>
      <c r="M4" s="13" t="s">
        <v>21</v>
      </c>
      <c r="N4" s="95"/>
      <c r="O4" s="13" t="s">
        <v>22</v>
      </c>
      <c r="P4" s="13" t="s">
        <v>23</v>
      </c>
      <c r="Q4" s="13" t="s">
        <v>24</v>
      </c>
      <c r="R4" s="95"/>
      <c r="S4" s="19"/>
    </row>
    <row r="5" spans="1:19" s="6" customFormat="1" ht="24" customHeight="1" x14ac:dyDescent="0.2">
      <c r="A5" s="33">
        <v>1</v>
      </c>
      <c r="B5" s="34" t="s">
        <v>37</v>
      </c>
      <c r="C5" s="31"/>
      <c r="D5" s="20"/>
      <c r="E5" s="15"/>
      <c r="F5" s="16">
        <f t="shared" ref="F5:F34" si="0">C5+D5+E5</f>
        <v>0</v>
      </c>
      <c r="G5" s="15"/>
      <c r="H5" s="15"/>
      <c r="I5" s="15"/>
      <c r="J5" s="51">
        <f t="shared" ref="J5:J34" si="1">(G5+H5+I5)</f>
        <v>0</v>
      </c>
      <c r="K5" s="15"/>
      <c r="L5" s="15"/>
      <c r="M5" s="15"/>
      <c r="N5" s="51">
        <f t="shared" ref="N5:N34" si="2">(K5+L5+M5)</f>
        <v>0</v>
      </c>
      <c r="O5" s="15"/>
      <c r="P5" s="8"/>
      <c r="Q5" s="17"/>
      <c r="R5" s="49">
        <f t="shared" ref="R5:R34" si="3">O5+P5+Q5</f>
        <v>0</v>
      </c>
      <c r="S5" s="50">
        <f t="shared" ref="S5:S34" si="4">R5+N5+J5+F5</f>
        <v>0</v>
      </c>
    </row>
    <row r="6" spans="1:19" s="6" customFormat="1" ht="24" customHeight="1" x14ac:dyDescent="0.2">
      <c r="A6" s="33">
        <v>2</v>
      </c>
      <c r="B6" s="34" t="s">
        <v>38</v>
      </c>
      <c r="C6" s="31"/>
      <c r="D6" s="20"/>
      <c r="E6" s="21"/>
      <c r="F6" s="16">
        <f t="shared" si="0"/>
        <v>0</v>
      </c>
      <c r="G6" s="21"/>
      <c r="H6" s="21"/>
      <c r="I6" s="21"/>
      <c r="J6" s="51">
        <f t="shared" si="1"/>
        <v>0</v>
      </c>
      <c r="K6" s="21"/>
      <c r="L6" s="21"/>
      <c r="M6" s="21"/>
      <c r="N6" s="51">
        <f t="shared" si="2"/>
        <v>0</v>
      </c>
      <c r="O6" s="21"/>
      <c r="P6" s="8"/>
      <c r="Q6" s="17"/>
      <c r="R6" s="49">
        <f t="shared" si="3"/>
        <v>0</v>
      </c>
      <c r="S6" s="50">
        <f t="shared" si="4"/>
        <v>0</v>
      </c>
    </row>
    <row r="7" spans="1:19" ht="24" customHeight="1" x14ac:dyDescent="0.2">
      <c r="A7" s="33">
        <v>3</v>
      </c>
      <c r="B7" s="34" t="s">
        <v>30</v>
      </c>
      <c r="C7" s="31"/>
      <c r="D7" s="20"/>
      <c r="E7" s="15"/>
      <c r="F7" s="16">
        <f t="shared" si="0"/>
        <v>0</v>
      </c>
      <c r="G7" s="15"/>
      <c r="H7" s="15"/>
      <c r="I7" s="15"/>
      <c r="J7" s="51">
        <f t="shared" si="1"/>
        <v>0</v>
      </c>
      <c r="K7" s="15"/>
      <c r="L7" s="15"/>
      <c r="M7" s="15"/>
      <c r="N7" s="51">
        <f t="shared" si="2"/>
        <v>0</v>
      </c>
      <c r="O7" s="15"/>
      <c r="P7" s="8"/>
      <c r="Q7" s="17"/>
      <c r="R7" s="49">
        <f t="shared" si="3"/>
        <v>0</v>
      </c>
      <c r="S7" s="50">
        <f t="shared" si="4"/>
        <v>0</v>
      </c>
    </row>
    <row r="8" spans="1:19" s="6" customFormat="1" ht="24" customHeight="1" x14ac:dyDescent="0.2">
      <c r="A8" s="33">
        <v>4</v>
      </c>
      <c r="B8" s="34" t="s">
        <v>54</v>
      </c>
      <c r="C8" s="31"/>
      <c r="D8" s="20"/>
      <c r="E8" s="15"/>
      <c r="F8" s="16">
        <f t="shared" si="0"/>
        <v>0</v>
      </c>
      <c r="G8" s="15"/>
      <c r="H8" s="15"/>
      <c r="I8" s="15"/>
      <c r="J8" s="51">
        <f t="shared" si="1"/>
        <v>0</v>
      </c>
      <c r="K8" s="15"/>
      <c r="L8" s="15"/>
      <c r="M8" s="15"/>
      <c r="N8" s="51">
        <f t="shared" si="2"/>
        <v>0</v>
      </c>
      <c r="O8" s="15"/>
      <c r="P8" s="8"/>
      <c r="Q8" s="17"/>
      <c r="R8" s="49">
        <f t="shared" si="3"/>
        <v>0</v>
      </c>
      <c r="S8" s="50">
        <f t="shared" si="4"/>
        <v>0</v>
      </c>
    </row>
    <row r="9" spans="1:19" ht="24" customHeight="1" x14ac:dyDescent="0.2">
      <c r="A9" s="33">
        <v>5</v>
      </c>
      <c r="B9" s="35" t="s">
        <v>55</v>
      </c>
      <c r="C9" s="31"/>
      <c r="D9" s="20"/>
      <c r="E9" s="15"/>
      <c r="F9" s="16">
        <f t="shared" si="0"/>
        <v>0</v>
      </c>
      <c r="G9" s="15"/>
      <c r="H9" s="15"/>
      <c r="I9" s="15"/>
      <c r="J9" s="51">
        <f t="shared" si="1"/>
        <v>0</v>
      </c>
      <c r="K9" s="15"/>
      <c r="L9" s="15"/>
      <c r="M9" s="15"/>
      <c r="N9" s="51">
        <f t="shared" si="2"/>
        <v>0</v>
      </c>
      <c r="O9" s="15"/>
      <c r="P9" s="8"/>
      <c r="Q9" s="17"/>
      <c r="R9" s="49">
        <f t="shared" si="3"/>
        <v>0</v>
      </c>
      <c r="S9" s="50">
        <f t="shared" si="4"/>
        <v>0</v>
      </c>
    </row>
    <row r="10" spans="1:19" ht="24" customHeight="1" x14ac:dyDescent="0.2">
      <c r="A10" s="33">
        <v>6</v>
      </c>
      <c r="B10" s="34" t="s">
        <v>114</v>
      </c>
      <c r="C10" s="31"/>
      <c r="D10" s="20"/>
      <c r="E10" s="15"/>
      <c r="F10" s="16">
        <f t="shared" si="0"/>
        <v>0</v>
      </c>
      <c r="G10" s="15"/>
      <c r="H10" s="15"/>
      <c r="I10" s="15"/>
      <c r="J10" s="51">
        <f t="shared" si="1"/>
        <v>0</v>
      </c>
      <c r="K10" s="15"/>
      <c r="L10" s="15"/>
      <c r="M10" s="15"/>
      <c r="N10" s="51">
        <f t="shared" si="2"/>
        <v>0</v>
      </c>
      <c r="O10" s="15"/>
      <c r="P10" s="8"/>
      <c r="Q10" s="17"/>
      <c r="R10" s="49">
        <f t="shared" si="3"/>
        <v>0</v>
      </c>
      <c r="S10" s="50">
        <f t="shared" si="4"/>
        <v>0</v>
      </c>
    </row>
    <row r="11" spans="1:19" ht="24" customHeight="1" x14ac:dyDescent="0.2">
      <c r="A11" s="33">
        <v>7</v>
      </c>
      <c r="B11" s="34" t="s">
        <v>115</v>
      </c>
      <c r="C11" s="31"/>
      <c r="D11" s="20"/>
      <c r="E11" s="15"/>
      <c r="F11" s="16">
        <f t="shared" si="0"/>
        <v>0</v>
      </c>
      <c r="G11" s="15"/>
      <c r="H11" s="15"/>
      <c r="I11" s="15"/>
      <c r="J11" s="51">
        <f t="shared" si="1"/>
        <v>0</v>
      </c>
      <c r="K11" s="15"/>
      <c r="L11" s="15"/>
      <c r="M11" s="15"/>
      <c r="N11" s="51">
        <f t="shared" si="2"/>
        <v>0</v>
      </c>
      <c r="O11" s="15"/>
      <c r="P11" s="8"/>
      <c r="Q11" s="17"/>
      <c r="R11" s="49">
        <f t="shared" si="3"/>
        <v>0</v>
      </c>
      <c r="S11" s="50">
        <f t="shared" si="4"/>
        <v>0</v>
      </c>
    </row>
    <row r="12" spans="1:19" ht="24" customHeight="1" x14ac:dyDescent="0.2">
      <c r="A12" s="33">
        <v>8</v>
      </c>
      <c r="B12" s="36" t="s">
        <v>58</v>
      </c>
      <c r="C12" s="31"/>
      <c r="D12" s="20"/>
      <c r="E12" s="15"/>
      <c r="F12" s="16">
        <f t="shared" si="0"/>
        <v>0</v>
      </c>
      <c r="G12" s="15"/>
      <c r="H12" s="15"/>
      <c r="I12" s="15"/>
      <c r="J12" s="51">
        <f t="shared" si="1"/>
        <v>0</v>
      </c>
      <c r="K12" s="15"/>
      <c r="L12" s="15"/>
      <c r="M12" s="15"/>
      <c r="N12" s="51">
        <f t="shared" si="2"/>
        <v>0</v>
      </c>
      <c r="O12" s="15"/>
      <c r="P12" s="8"/>
      <c r="Q12" s="17"/>
      <c r="R12" s="49">
        <f t="shared" si="3"/>
        <v>0</v>
      </c>
      <c r="S12" s="50">
        <f t="shared" si="4"/>
        <v>0</v>
      </c>
    </row>
    <row r="13" spans="1:19" ht="24" customHeight="1" x14ac:dyDescent="0.2">
      <c r="A13" s="33">
        <v>9</v>
      </c>
      <c r="B13" s="36" t="s">
        <v>59</v>
      </c>
      <c r="C13" s="31"/>
      <c r="D13" s="20"/>
      <c r="E13" s="15"/>
      <c r="F13" s="16">
        <f t="shared" si="0"/>
        <v>0</v>
      </c>
      <c r="G13" s="15"/>
      <c r="H13" s="15"/>
      <c r="I13" s="15"/>
      <c r="J13" s="51">
        <f t="shared" si="1"/>
        <v>0</v>
      </c>
      <c r="K13" s="15"/>
      <c r="L13" s="15"/>
      <c r="M13" s="15"/>
      <c r="N13" s="51">
        <f t="shared" si="2"/>
        <v>0</v>
      </c>
      <c r="O13" s="15"/>
      <c r="P13" s="8"/>
      <c r="Q13" s="17"/>
      <c r="R13" s="49">
        <f t="shared" si="3"/>
        <v>0</v>
      </c>
      <c r="S13" s="50">
        <f t="shared" si="4"/>
        <v>0</v>
      </c>
    </row>
    <row r="14" spans="1:19" ht="24" customHeight="1" x14ac:dyDescent="0.2">
      <c r="A14" s="33">
        <v>10</v>
      </c>
      <c r="B14" s="34" t="s">
        <v>60</v>
      </c>
      <c r="C14" s="31"/>
      <c r="D14" s="20"/>
      <c r="E14" s="15"/>
      <c r="F14" s="16">
        <f t="shared" si="0"/>
        <v>0</v>
      </c>
      <c r="G14" s="15"/>
      <c r="H14" s="15"/>
      <c r="I14" s="15"/>
      <c r="J14" s="51">
        <f t="shared" si="1"/>
        <v>0</v>
      </c>
      <c r="K14" s="15"/>
      <c r="L14" s="15"/>
      <c r="M14" s="15"/>
      <c r="N14" s="51">
        <f t="shared" si="2"/>
        <v>0</v>
      </c>
      <c r="O14" s="15"/>
      <c r="P14" s="8"/>
      <c r="Q14" s="17"/>
      <c r="R14" s="49">
        <f t="shared" si="3"/>
        <v>0</v>
      </c>
      <c r="S14" s="50">
        <f t="shared" si="4"/>
        <v>0</v>
      </c>
    </row>
    <row r="15" spans="1:19" ht="24" customHeight="1" x14ac:dyDescent="0.2">
      <c r="A15" s="33">
        <v>11</v>
      </c>
      <c r="B15" s="34" t="s">
        <v>61</v>
      </c>
      <c r="C15" s="31"/>
      <c r="D15" s="20"/>
      <c r="E15" s="15"/>
      <c r="F15" s="16">
        <f t="shared" si="0"/>
        <v>0</v>
      </c>
      <c r="G15" s="15"/>
      <c r="H15" s="15"/>
      <c r="I15" s="15"/>
      <c r="J15" s="51">
        <f t="shared" si="1"/>
        <v>0</v>
      </c>
      <c r="K15" s="15"/>
      <c r="L15" s="15"/>
      <c r="M15" s="15"/>
      <c r="N15" s="51">
        <f t="shared" si="2"/>
        <v>0</v>
      </c>
      <c r="O15" s="15"/>
      <c r="P15" s="8"/>
      <c r="Q15" s="17"/>
      <c r="R15" s="49">
        <f t="shared" si="3"/>
        <v>0</v>
      </c>
      <c r="S15" s="50">
        <f t="shared" si="4"/>
        <v>0</v>
      </c>
    </row>
    <row r="16" spans="1:19" ht="24" customHeight="1" x14ac:dyDescent="0.2">
      <c r="A16" s="33">
        <v>12</v>
      </c>
      <c r="B16" s="34" t="s">
        <v>39</v>
      </c>
      <c r="C16" s="31"/>
      <c r="D16" s="20"/>
      <c r="E16" s="15"/>
      <c r="F16" s="16">
        <f t="shared" si="0"/>
        <v>0</v>
      </c>
      <c r="G16" s="15"/>
      <c r="H16" s="15"/>
      <c r="I16" s="15"/>
      <c r="J16" s="51">
        <f t="shared" si="1"/>
        <v>0</v>
      </c>
      <c r="K16" s="15"/>
      <c r="L16" s="15"/>
      <c r="M16" s="15"/>
      <c r="N16" s="51">
        <f t="shared" si="2"/>
        <v>0</v>
      </c>
      <c r="O16" s="15"/>
      <c r="P16" s="8"/>
      <c r="Q16" s="17"/>
      <c r="R16" s="49">
        <f t="shared" si="3"/>
        <v>0</v>
      </c>
      <c r="S16" s="50">
        <f t="shared" si="4"/>
        <v>0</v>
      </c>
    </row>
    <row r="17" spans="1:19" ht="24" customHeight="1" x14ac:dyDescent="0.2">
      <c r="A17" s="33">
        <v>13</v>
      </c>
      <c r="B17" s="34" t="s">
        <v>62</v>
      </c>
      <c r="C17" s="31"/>
      <c r="D17" s="20"/>
      <c r="E17" s="15"/>
      <c r="F17" s="16">
        <f t="shared" si="0"/>
        <v>0</v>
      </c>
      <c r="G17" s="15"/>
      <c r="H17" s="15"/>
      <c r="I17" s="15"/>
      <c r="J17" s="51">
        <f t="shared" si="1"/>
        <v>0</v>
      </c>
      <c r="K17" s="15"/>
      <c r="L17" s="15"/>
      <c r="M17" s="15"/>
      <c r="N17" s="51">
        <f t="shared" si="2"/>
        <v>0</v>
      </c>
      <c r="O17" s="15"/>
      <c r="P17" s="8"/>
      <c r="Q17" s="17"/>
      <c r="R17" s="49">
        <f t="shared" si="3"/>
        <v>0</v>
      </c>
      <c r="S17" s="50">
        <f t="shared" si="4"/>
        <v>0</v>
      </c>
    </row>
    <row r="18" spans="1:19" ht="24" customHeight="1" x14ac:dyDescent="0.2">
      <c r="A18" s="33">
        <v>14</v>
      </c>
      <c r="B18" s="34" t="s">
        <v>31</v>
      </c>
      <c r="C18" s="31"/>
      <c r="D18" s="20"/>
      <c r="E18" s="15"/>
      <c r="F18" s="16">
        <f t="shared" si="0"/>
        <v>0</v>
      </c>
      <c r="G18" s="15"/>
      <c r="H18" s="15"/>
      <c r="I18" s="15"/>
      <c r="J18" s="51">
        <f t="shared" si="1"/>
        <v>0</v>
      </c>
      <c r="K18" s="15"/>
      <c r="L18" s="15"/>
      <c r="M18" s="15"/>
      <c r="N18" s="51">
        <f t="shared" si="2"/>
        <v>0</v>
      </c>
      <c r="O18" s="15"/>
      <c r="P18" s="8"/>
      <c r="Q18" s="17"/>
      <c r="R18" s="49">
        <f t="shared" si="3"/>
        <v>0</v>
      </c>
      <c r="S18" s="50">
        <f t="shared" si="4"/>
        <v>0</v>
      </c>
    </row>
    <row r="19" spans="1:19" ht="24" customHeight="1" x14ac:dyDescent="0.2">
      <c r="A19" s="33">
        <v>15</v>
      </c>
      <c r="B19" s="34" t="s">
        <v>32</v>
      </c>
      <c r="C19" s="31"/>
      <c r="D19" s="20"/>
      <c r="E19" s="21"/>
      <c r="F19" s="16">
        <f t="shared" si="0"/>
        <v>0</v>
      </c>
      <c r="G19" s="21"/>
      <c r="H19" s="21"/>
      <c r="I19" s="21"/>
      <c r="J19" s="51">
        <f t="shared" si="1"/>
        <v>0</v>
      </c>
      <c r="K19" s="21"/>
      <c r="L19" s="21"/>
      <c r="M19" s="21"/>
      <c r="N19" s="51">
        <f t="shared" si="2"/>
        <v>0</v>
      </c>
      <c r="O19" s="21"/>
      <c r="P19" s="8"/>
      <c r="Q19" s="17"/>
      <c r="R19" s="49">
        <f t="shared" si="3"/>
        <v>0</v>
      </c>
      <c r="S19" s="50">
        <f t="shared" si="4"/>
        <v>0</v>
      </c>
    </row>
    <row r="20" spans="1:19" ht="24" customHeight="1" x14ac:dyDescent="0.2">
      <c r="A20" s="33">
        <v>16</v>
      </c>
      <c r="B20" s="34" t="s">
        <v>63</v>
      </c>
      <c r="C20" s="31"/>
      <c r="D20" s="37"/>
      <c r="E20" s="21"/>
      <c r="F20" s="16">
        <f t="shared" si="0"/>
        <v>0</v>
      </c>
      <c r="G20" s="21"/>
      <c r="H20" s="21"/>
      <c r="I20" s="21"/>
      <c r="J20" s="51">
        <f t="shared" si="1"/>
        <v>0</v>
      </c>
      <c r="K20" s="21"/>
      <c r="L20" s="21"/>
      <c r="M20" s="21"/>
      <c r="N20" s="51">
        <f t="shared" si="2"/>
        <v>0</v>
      </c>
      <c r="O20" s="21"/>
      <c r="P20" s="18"/>
      <c r="Q20" s="17"/>
      <c r="R20" s="49">
        <f t="shared" si="3"/>
        <v>0</v>
      </c>
      <c r="S20" s="50">
        <f t="shared" si="4"/>
        <v>0</v>
      </c>
    </row>
    <row r="21" spans="1:19" ht="24" customHeight="1" x14ac:dyDescent="0.2">
      <c r="A21" s="33">
        <v>17</v>
      </c>
      <c r="B21" s="34" t="s">
        <v>120</v>
      </c>
      <c r="C21" s="31"/>
      <c r="D21" s="37"/>
      <c r="E21" s="21"/>
      <c r="F21" s="16">
        <f t="shared" si="0"/>
        <v>0</v>
      </c>
      <c r="G21" s="21"/>
      <c r="H21" s="21"/>
      <c r="I21" s="21"/>
      <c r="J21" s="51">
        <f t="shared" si="1"/>
        <v>0</v>
      </c>
      <c r="K21" s="21"/>
      <c r="L21" s="21"/>
      <c r="M21" s="21"/>
      <c r="N21" s="51">
        <f t="shared" si="2"/>
        <v>0</v>
      </c>
      <c r="O21" s="21"/>
      <c r="P21" s="18"/>
      <c r="Q21" s="17"/>
      <c r="R21" s="49">
        <f t="shared" si="3"/>
        <v>0</v>
      </c>
      <c r="S21" s="50">
        <f t="shared" si="4"/>
        <v>0</v>
      </c>
    </row>
    <row r="22" spans="1:19" ht="24" customHeight="1" x14ac:dyDescent="0.2">
      <c r="A22" s="33">
        <v>18</v>
      </c>
      <c r="B22" s="34" t="s">
        <v>64</v>
      </c>
      <c r="C22" s="31"/>
      <c r="D22" s="20"/>
      <c r="E22" s="15"/>
      <c r="F22" s="16">
        <f t="shared" si="0"/>
        <v>0</v>
      </c>
      <c r="G22" s="15"/>
      <c r="H22" s="15"/>
      <c r="I22" s="15"/>
      <c r="J22" s="51">
        <f t="shared" si="1"/>
        <v>0</v>
      </c>
      <c r="K22" s="15"/>
      <c r="L22" s="15"/>
      <c r="M22" s="15"/>
      <c r="N22" s="51">
        <f t="shared" si="2"/>
        <v>0</v>
      </c>
      <c r="O22" s="15"/>
      <c r="P22" s="8"/>
      <c r="Q22" s="17"/>
      <c r="R22" s="49">
        <f t="shared" si="3"/>
        <v>0</v>
      </c>
      <c r="S22" s="50">
        <f t="shared" si="4"/>
        <v>0</v>
      </c>
    </row>
    <row r="23" spans="1:19" ht="29.25" customHeight="1" x14ac:dyDescent="0.2">
      <c r="A23" s="33">
        <v>19</v>
      </c>
      <c r="B23" s="35" t="s">
        <v>116</v>
      </c>
      <c r="C23" s="31"/>
      <c r="D23" s="20"/>
      <c r="E23" s="15"/>
      <c r="F23" s="16">
        <f t="shared" si="0"/>
        <v>0</v>
      </c>
      <c r="G23" s="15"/>
      <c r="H23" s="15"/>
      <c r="I23" s="15"/>
      <c r="J23" s="51">
        <f t="shared" si="1"/>
        <v>0</v>
      </c>
      <c r="K23" s="15"/>
      <c r="L23" s="15"/>
      <c r="M23" s="15"/>
      <c r="N23" s="51">
        <f t="shared" si="2"/>
        <v>0</v>
      </c>
      <c r="O23" s="15"/>
      <c r="P23" s="8"/>
      <c r="Q23" s="17"/>
      <c r="R23" s="49">
        <f t="shared" si="3"/>
        <v>0</v>
      </c>
      <c r="S23" s="50">
        <f t="shared" si="4"/>
        <v>0</v>
      </c>
    </row>
    <row r="24" spans="1:19" ht="24" customHeight="1" x14ac:dyDescent="0.2">
      <c r="A24" s="33">
        <v>20</v>
      </c>
      <c r="B24" s="35" t="s">
        <v>127</v>
      </c>
      <c r="C24" s="31"/>
      <c r="D24" s="20"/>
      <c r="E24" s="21"/>
      <c r="F24" s="16">
        <f t="shared" si="0"/>
        <v>0</v>
      </c>
      <c r="G24" s="21"/>
      <c r="H24" s="21"/>
      <c r="I24" s="21"/>
      <c r="J24" s="51">
        <f t="shared" si="1"/>
        <v>0</v>
      </c>
      <c r="K24" s="21"/>
      <c r="L24" s="21"/>
      <c r="M24" s="21"/>
      <c r="N24" s="51">
        <f t="shared" si="2"/>
        <v>0</v>
      </c>
      <c r="O24" s="21"/>
      <c r="P24" s="8"/>
      <c r="Q24" s="17"/>
      <c r="R24" s="49">
        <f t="shared" si="3"/>
        <v>0</v>
      </c>
      <c r="S24" s="50">
        <f t="shared" si="4"/>
        <v>0</v>
      </c>
    </row>
    <row r="25" spans="1:19" ht="24" customHeight="1" x14ac:dyDescent="0.2">
      <c r="A25" s="33">
        <v>21</v>
      </c>
      <c r="B25" s="35" t="s">
        <v>128</v>
      </c>
      <c r="C25" s="54"/>
      <c r="D25" s="55"/>
      <c r="E25" s="21"/>
      <c r="F25" s="16">
        <f t="shared" si="0"/>
        <v>0</v>
      </c>
      <c r="G25" s="21"/>
      <c r="H25" s="21"/>
      <c r="I25" s="21"/>
      <c r="J25" s="51">
        <f t="shared" si="1"/>
        <v>0</v>
      </c>
      <c r="K25" s="21"/>
      <c r="L25" s="21"/>
      <c r="M25" s="21"/>
      <c r="N25" s="51">
        <f t="shared" si="2"/>
        <v>0</v>
      </c>
      <c r="O25" s="21"/>
      <c r="P25" s="18"/>
      <c r="Q25" s="17"/>
      <c r="R25" s="49">
        <f t="shared" ref="R25:R32" si="5">O25+P25+Q25</f>
        <v>0</v>
      </c>
      <c r="S25" s="50">
        <f t="shared" ref="S25:S32" si="6">R25+N25+J25+F25</f>
        <v>0</v>
      </c>
    </row>
    <row r="26" spans="1:19" s="6" customFormat="1" ht="24" customHeight="1" x14ac:dyDescent="0.2">
      <c r="A26" s="33">
        <v>22</v>
      </c>
      <c r="B26" s="34" t="s">
        <v>27</v>
      </c>
      <c r="C26" s="31"/>
      <c r="D26" s="20"/>
      <c r="E26" s="15"/>
      <c r="F26" s="16">
        <f t="shared" si="0"/>
        <v>0</v>
      </c>
      <c r="G26" s="15"/>
      <c r="H26" s="15"/>
      <c r="I26" s="15"/>
      <c r="J26" s="51">
        <f t="shared" si="1"/>
        <v>0</v>
      </c>
      <c r="K26" s="15"/>
      <c r="L26" s="15"/>
      <c r="M26" s="15"/>
      <c r="N26" s="51">
        <f t="shared" si="2"/>
        <v>0</v>
      </c>
      <c r="O26" s="15"/>
      <c r="P26" s="8"/>
      <c r="Q26" s="17"/>
      <c r="R26" s="49">
        <f t="shared" si="5"/>
        <v>0</v>
      </c>
      <c r="S26" s="50">
        <f t="shared" si="6"/>
        <v>0</v>
      </c>
    </row>
    <row r="27" spans="1:19" s="6" customFormat="1" ht="24" customHeight="1" x14ac:dyDescent="0.2">
      <c r="A27" s="33">
        <v>23</v>
      </c>
      <c r="B27" s="35" t="s">
        <v>40</v>
      </c>
      <c r="C27" s="31"/>
      <c r="D27" s="20"/>
      <c r="E27" s="15"/>
      <c r="F27" s="16">
        <f t="shared" si="0"/>
        <v>0</v>
      </c>
      <c r="G27" s="15"/>
      <c r="H27" s="15"/>
      <c r="I27" s="15"/>
      <c r="J27" s="51">
        <f t="shared" si="1"/>
        <v>0</v>
      </c>
      <c r="K27" s="15"/>
      <c r="L27" s="15"/>
      <c r="M27" s="15"/>
      <c r="N27" s="51">
        <f t="shared" si="2"/>
        <v>0</v>
      </c>
      <c r="O27" s="15"/>
      <c r="P27" s="8"/>
      <c r="Q27" s="17"/>
      <c r="R27" s="49">
        <f t="shared" si="5"/>
        <v>0</v>
      </c>
      <c r="S27" s="50">
        <f t="shared" si="6"/>
        <v>0</v>
      </c>
    </row>
    <row r="28" spans="1:19" s="6" customFormat="1" ht="24" customHeight="1" x14ac:dyDescent="0.2">
      <c r="A28" s="33">
        <v>24</v>
      </c>
      <c r="B28" s="34" t="s">
        <v>28</v>
      </c>
      <c r="C28" s="31"/>
      <c r="D28" s="20"/>
      <c r="E28" s="15"/>
      <c r="F28" s="16">
        <f t="shared" si="0"/>
        <v>0</v>
      </c>
      <c r="G28" s="15"/>
      <c r="H28" s="15"/>
      <c r="I28" s="15"/>
      <c r="J28" s="51">
        <f t="shared" si="1"/>
        <v>0</v>
      </c>
      <c r="K28" s="15"/>
      <c r="L28" s="15"/>
      <c r="M28" s="15"/>
      <c r="N28" s="51">
        <f t="shared" si="2"/>
        <v>0</v>
      </c>
      <c r="O28" s="15"/>
      <c r="P28" s="8"/>
      <c r="Q28" s="17"/>
      <c r="R28" s="49">
        <f t="shared" si="5"/>
        <v>0</v>
      </c>
      <c r="S28" s="50">
        <f t="shared" si="6"/>
        <v>0</v>
      </c>
    </row>
    <row r="29" spans="1:19" s="6" customFormat="1" ht="24" customHeight="1" x14ac:dyDescent="0.2">
      <c r="A29" s="33">
        <v>25</v>
      </c>
      <c r="B29" s="56" t="s">
        <v>129</v>
      </c>
      <c r="C29" s="54"/>
      <c r="D29" s="55"/>
      <c r="E29" s="21"/>
      <c r="F29" s="16">
        <f t="shared" si="0"/>
        <v>0</v>
      </c>
      <c r="G29" s="21"/>
      <c r="H29" s="21"/>
      <c r="I29" s="21"/>
      <c r="J29" s="51">
        <f t="shared" si="1"/>
        <v>0</v>
      </c>
      <c r="K29" s="21"/>
      <c r="L29" s="21"/>
      <c r="M29" s="21"/>
      <c r="N29" s="51">
        <f t="shared" si="2"/>
        <v>0</v>
      </c>
      <c r="O29" s="21"/>
      <c r="P29" s="18"/>
      <c r="Q29" s="17"/>
      <c r="R29" s="49">
        <f t="shared" si="5"/>
        <v>0</v>
      </c>
      <c r="S29" s="50">
        <f t="shared" si="6"/>
        <v>0</v>
      </c>
    </row>
    <row r="30" spans="1:19" ht="24" customHeight="1" x14ac:dyDescent="0.2">
      <c r="A30" s="33">
        <v>26</v>
      </c>
      <c r="B30" s="34" t="s">
        <v>41</v>
      </c>
      <c r="C30" s="31"/>
      <c r="D30" s="20"/>
      <c r="E30" s="15"/>
      <c r="F30" s="16">
        <f t="shared" si="0"/>
        <v>0</v>
      </c>
      <c r="G30" s="15"/>
      <c r="H30" s="15"/>
      <c r="I30" s="15"/>
      <c r="J30" s="51">
        <f t="shared" si="1"/>
        <v>0</v>
      </c>
      <c r="K30" s="15"/>
      <c r="L30" s="15"/>
      <c r="M30" s="15"/>
      <c r="N30" s="51">
        <f t="shared" si="2"/>
        <v>0</v>
      </c>
      <c r="O30" s="15"/>
      <c r="P30" s="8"/>
      <c r="Q30" s="17"/>
      <c r="R30" s="49">
        <f t="shared" si="5"/>
        <v>0</v>
      </c>
      <c r="S30" s="50">
        <f t="shared" si="6"/>
        <v>0</v>
      </c>
    </row>
    <row r="31" spans="1:19" s="5" customFormat="1" ht="24" customHeight="1" x14ac:dyDescent="0.2">
      <c r="A31" s="33">
        <v>27</v>
      </c>
      <c r="B31" s="34" t="s">
        <v>117</v>
      </c>
      <c r="C31" s="31"/>
      <c r="D31" s="20"/>
      <c r="E31" s="15"/>
      <c r="F31" s="16">
        <f t="shared" si="0"/>
        <v>0</v>
      </c>
      <c r="G31" s="15"/>
      <c r="H31" s="15"/>
      <c r="I31" s="15"/>
      <c r="J31" s="51">
        <f t="shared" si="1"/>
        <v>0</v>
      </c>
      <c r="K31" s="15"/>
      <c r="L31" s="15"/>
      <c r="M31" s="15"/>
      <c r="N31" s="51">
        <f t="shared" si="2"/>
        <v>0</v>
      </c>
      <c r="O31" s="15"/>
      <c r="P31" s="8"/>
      <c r="Q31" s="17"/>
      <c r="R31" s="49">
        <f t="shared" si="5"/>
        <v>0</v>
      </c>
      <c r="S31" s="50">
        <f t="shared" si="6"/>
        <v>0</v>
      </c>
    </row>
    <row r="32" spans="1:19" s="5" customFormat="1" ht="24" customHeight="1" x14ac:dyDescent="0.2">
      <c r="A32" s="33">
        <v>28</v>
      </c>
      <c r="B32" s="34" t="s">
        <v>118</v>
      </c>
      <c r="C32" s="31"/>
      <c r="D32" s="20"/>
      <c r="E32" s="15"/>
      <c r="F32" s="16">
        <f t="shared" si="0"/>
        <v>0</v>
      </c>
      <c r="G32" s="15"/>
      <c r="H32" s="15"/>
      <c r="I32" s="15"/>
      <c r="J32" s="51">
        <f t="shared" si="1"/>
        <v>0</v>
      </c>
      <c r="K32" s="15"/>
      <c r="L32" s="15"/>
      <c r="M32" s="15"/>
      <c r="N32" s="51">
        <f t="shared" si="2"/>
        <v>0</v>
      </c>
      <c r="O32" s="15"/>
      <c r="P32" s="8"/>
      <c r="Q32" s="17"/>
      <c r="R32" s="49">
        <f t="shared" si="5"/>
        <v>0</v>
      </c>
      <c r="S32" s="50">
        <f t="shared" si="6"/>
        <v>0</v>
      </c>
    </row>
    <row r="33" spans="1:19" ht="24" customHeight="1" x14ac:dyDescent="0.2">
      <c r="A33" s="33">
        <v>29</v>
      </c>
      <c r="B33" s="34" t="s">
        <v>119</v>
      </c>
      <c r="C33" s="31"/>
      <c r="D33" s="20"/>
      <c r="E33" s="15"/>
      <c r="F33" s="16">
        <f t="shared" si="0"/>
        <v>0</v>
      </c>
      <c r="G33" s="15"/>
      <c r="H33" s="15"/>
      <c r="I33" s="23"/>
      <c r="J33" s="51">
        <f t="shared" si="1"/>
        <v>0</v>
      </c>
      <c r="K33" s="23"/>
      <c r="L33" s="23"/>
      <c r="M33" s="23"/>
      <c r="N33" s="51">
        <f t="shared" si="2"/>
        <v>0</v>
      </c>
      <c r="O33" s="23"/>
      <c r="P33" s="22"/>
      <c r="Q33" s="23"/>
      <c r="R33" s="49">
        <f t="shared" si="3"/>
        <v>0</v>
      </c>
      <c r="S33" s="50">
        <f t="shared" si="4"/>
        <v>0</v>
      </c>
    </row>
    <row r="34" spans="1:19" ht="24" customHeight="1" x14ac:dyDescent="0.2">
      <c r="A34" s="33">
        <v>30</v>
      </c>
      <c r="B34" s="34" t="s">
        <v>94</v>
      </c>
      <c r="C34" s="32"/>
      <c r="D34" s="37"/>
      <c r="E34" s="43"/>
      <c r="F34" s="44">
        <f t="shared" si="0"/>
        <v>0</v>
      </c>
      <c r="G34" s="43"/>
      <c r="H34" s="43"/>
      <c r="I34" s="43"/>
      <c r="J34" s="51">
        <f t="shared" si="1"/>
        <v>0</v>
      </c>
      <c r="K34" s="25"/>
      <c r="L34" s="25"/>
      <c r="M34" s="25"/>
      <c r="N34" s="51">
        <f t="shared" si="2"/>
        <v>0</v>
      </c>
      <c r="O34" s="25"/>
      <c r="P34" s="25"/>
      <c r="Q34" s="25"/>
      <c r="R34" s="49">
        <f t="shared" si="3"/>
        <v>0</v>
      </c>
      <c r="S34" s="50">
        <f t="shared" si="4"/>
        <v>0</v>
      </c>
    </row>
    <row r="35" spans="1:19" ht="24" customHeight="1" x14ac:dyDescent="0.2">
      <c r="A35" s="33">
        <v>31</v>
      </c>
      <c r="B35" s="41" t="s">
        <v>122</v>
      </c>
      <c r="C35" s="42"/>
      <c r="D35" s="37"/>
      <c r="E35" s="43"/>
      <c r="F35" s="44">
        <f t="shared" ref="F35:F36" si="7">C35+D35+E35</f>
        <v>0</v>
      </c>
      <c r="G35" s="43"/>
      <c r="H35" s="43"/>
      <c r="I35" s="43"/>
      <c r="J35" s="51">
        <f t="shared" ref="J35:J36" si="8">(G35+H35+I35)</f>
        <v>0</v>
      </c>
      <c r="K35" s="25"/>
      <c r="L35" s="25"/>
      <c r="M35" s="25"/>
      <c r="N35" s="51">
        <f t="shared" ref="N35:N36" si="9">(K35+L35+M35)</f>
        <v>0</v>
      </c>
      <c r="O35" s="25"/>
      <c r="P35" s="25"/>
      <c r="Q35" s="25"/>
      <c r="R35" s="49">
        <f t="shared" ref="R35:R36" si="10">O35+P35+Q35</f>
        <v>0</v>
      </c>
      <c r="S35" s="50">
        <f t="shared" ref="S35:S36" si="11">R35+N35+J35+F35</f>
        <v>0</v>
      </c>
    </row>
    <row r="36" spans="1:19" ht="24" customHeight="1" x14ac:dyDescent="0.2">
      <c r="A36" s="33">
        <v>32</v>
      </c>
      <c r="B36" s="41" t="s">
        <v>123</v>
      </c>
      <c r="C36" s="42"/>
      <c r="D36" s="37"/>
      <c r="E36" s="43"/>
      <c r="F36" s="44">
        <f t="shared" si="7"/>
        <v>0</v>
      </c>
      <c r="G36" s="43"/>
      <c r="H36" s="43"/>
      <c r="I36" s="43"/>
      <c r="J36" s="51">
        <f t="shared" si="8"/>
        <v>0</v>
      </c>
      <c r="K36" s="25"/>
      <c r="L36" s="25"/>
      <c r="M36" s="25"/>
      <c r="N36" s="51">
        <f t="shared" si="9"/>
        <v>0</v>
      </c>
      <c r="O36" s="25"/>
      <c r="P36" s="25"/>
      <c r="Q36" s="25"/>
      <c r="R36" s="49">
        <f t="shared" si="10"/>
        <v>0</v>
      </c>
      <c r="S36" s="50">
        <f t="shared" si="11"/>
        <v>0</v>
      </c>
    </row>
    <row r="37" spans="1:19" ht="40.5" customHeight="1" x14ac:dyDescent="0.2">
      <c r="A37" s="27"/>
      <c r="B37" s="28" t="s">
        <v>47</v>
      </c>
      <c r="C37" s="83" t="s">
        <v>130</v>
      </c>
      <c r="D37" s="84"/>
      <c r="E37" s="85"/>
      <c r="F37" s="83" t="s">
        <v>131</v>
      </c>
      <c r="G37" s="84"/>
      <c r="H37" s="85"/>
      <c r="I37" s="61" t="s">
        <v>135</v>
      </c>
      <c r="J37" s="24"/>
      <c r="K37" s="24"/>
      <c r="L37" s="24"/>
      <c r="M37" s="24"/>
      <c r="N37" s="81"/>
      <c r="O37" s="81"/>
      <c r="P37" s="81"/>
      <c r="Q37" s="81"/>
    </row>
    <row r="38" spans="1:19" ht="36.75" customHeight="1" x14ac:dyDescent="0.2">
      <c r="A38" s="30">
        <v>1</v>
      </c>
      <c r="B38" s="71" t="s">
        <v>67</v>
      </c>
      <c r="C38" s="82">
        <v>0</v>
      </c>
      <c r="D38" s="82"/>
      <c r="E38" s="82"/>
      <c r="F38" s="82">
        <v>0</v>
      </c>
      <c r="G38" s="82"/>
      <c r="H38" s="82"/>
      <c r="I38" s="58" t="s">
        <v>134</v>
      </c>
      <c r="J38" s="59" t="s">
        <v>133</v>
      </c>
      <c r="K38" s="24"/>
      <c r="L38" s="24"/>
      <c r="M38" s="24"/>
      <c r="N38" s="24"/>
      <c r="O38" s="24"/>
      <c r="P38" s="24"/>
      <c r="Q38" s="24"/>
    </row>
    <row r="39" spans="1:19" x14ac:dyDescent="0.2">
      <c r="A39" s="30" t="s">
        <v>50</v>
      </c>
      <c r="B39" s="29" t="s">
        <v>43</v>
      </c>
      <c r="C39" s="74">
        <v>0</v>
      </c>
      <c r="D39" s="74"/>
      <c r="E39" s="74"/>
      <c r="F39" s="74">
        <v>0</v>
      </c>
      <c r="G39" s="74"/>
      <c r="H39" s="74"/>
      <c r="I39" s="67" t="e">
        <f>C39*100/C38</f>
        <v>#DIV/0!</v>
      </c>
      <c r="J39" s="68" t="e">
        <f>F39*100/F38</f>
        <v>#DIV/0!</v>
      </c>
      <c r="K39" s="24"/>
      <c r="L39" s="24"/>
      <c r="M39" s="24"/>
      <c r="N39" s="24"/>
      <c r="O39" s="24"/>
      <c r="P39" s="24"/>
      <c r="Q39" s="24"/>
    </row>
    <row r="40" spans="1:19" x14ac:dyDescent="0.2">
      <c r="A40" s="30" t="s">
        <v>51</v>
      </c>
      <c r="B40" s="29" t="s">
        <v>44</v>
      </c>
      <c r="C40" s="74">
        <v>0</v>
      </c>
      <c r="D40" s="74"/>
      <c r="E40" s="74"/>
      <c r="F40" s="74">
        <v>0</v>
      </c>
      <c r="G40" s="74"/>
      <c r="H40" s="74"/>
      <c r="I40" s="66" t="e">
        <f>C40*100/C38</f>
        <v>#DIV/0!</v>
      </c>
      <c r="J40" s="65" t="e">
        <f>F40*100/F38</f>
        <v>#DIV/0!</v>
      </c>
      <c r="K40" s="24"/>
      <c r="L40" s="24"/>
      <c r="M40" s="24"/>
      <c r="N40" s="24"/>
      <c r="O40" s="24"/>
      <c r="P40" s="24"/>
      <c r="Q40" s="24"/>
    </row>
    <row r="41" spans="1:19" x14ac:dyDescent="0.2">
      <c r="A41" s="53" t="s">
        <v>52</v>
      </c>
      <c r="B41" s="52" t="s">
        <v>45</v>
      </c>
      <c r="C41" s="74">
        <v>0</v>
      </c>
      <c r="D41" s="74"/>
      <c r="E41" s="74"/>
      <c r="F41" s="74">
        <v>0</v>
      </c>
      <c r="G41" s="74"/>
      <c r="H41" s="74"/>
      <c r="I41" s="66" t="e">
        <f>C41*100/C38</f>
        <v>#DIV/0!</v>
      </c>
      <c r="J41" s="65" t="e">
        <f>F41*100/F38</f>
        <v>#DIV/0!</v>
      </c>
      <c r="K41" s="24"/>
      <c r="L41" s="24"/>
      <c r="M41" s="24"/>
      <c r="N41" s="24"/>
      <c r="O41" s="24"/>
      <c r="P41" s="24"/>
      <c r="Q41" s="24"/>
    </row>
    <row r="42" spans="1:19" x14ac:dyDescent="0.2">
      <c r="A42" s="53" t="s">
        <v>53</v>
      </c>
      <c r="B42" s="52" t="s">
        <v>46</v>
      </c>
      <c r="C42" s="74">
        <v>0</v>
      </c>
      <c r="D42" s="74"/>
      <c r="E42" s="74"/>
      <c r="F42" s="74">
        <v>0</v>
      </c>
      <c r="G42" s="74"/>
      <c r="H42" s="74"/>
      <c r="I42" s="66" t="e">
        <f>C42*100/C38</f>
        <v>#DIV/0!</v>
      </c>
      <c r="J42" s="65" t="e">
        <f>F42*100/F38</f>
        <v>#DIV/0!</v>
      </c>
      <c r="K42" s="24"/>
      <c r="L42" s="24"/>
      <c r="M42" s="24"/>
      <c r="N42" s="24"/>
      <c r="O42" s="24"/>
      <c r="P42" s="24"/>
      <c r="Q42" s="24"/>
    </row>
    <row r="43" spans="1:19" x14ac:dyDescent="0.2">
      <c r="A43" s="53">
        <v>2</v>
      </c>
      <c r="B43" s="72" t="s">
        <v>137</v>
      </c>
      <c r="C43" s="82">
        <v>0</v>
      </c>
      <c r="D43" s="82"/>
      <c r="E43" s="82"/>
      <c r="F43" s="82">
        <v>0</v>
      </c>
      <c r="G43" s="82"/>
      <c r="H43" s="82"/>
      <c r="I43" s="69" t="e">
        <f>SUM(I39:I42)</f>
        <v>#DIV/0!</v>
      </c>
      <c r="J43" s="70" t="e">
        <f>SUM(J39:J42)</f>
        <v>#DIV/0!</v>
      </c>
      <c r="K43" s="60"/>
      <c r="L43" s="24"/>
      <c r="M43" s="24"/>
      <c r="N43" s="24"/>
      <c r="O43" s="24"/>
      <c r="P43" s="24"/>
      <c r="Q43" s="24"/>
    </row>
    <row r="44" spans="1:19" x14ac:dyDescent="0.2">
      <c r="A44" s="53">
        <v>3</v>
      </c>
      <c r="B44" s="72" t="s">
        <v>48</v>
      </c>
      <c r="C44" s="82">
        <v>0</v>
      </c>
      <c r="D44" s="82"/>
      <c r="E44" s="82"/>
      <c r="F44" s="82">
        <v>0</v>
      </c>
      <c r="G44" s="82"/>
      <c r="H44" s="82"/>
      <c r="I44" s="57"/>
      <c r="J44" s="57"/>
      <c r="K44" s="57"/>
    </row>
    <row r="45" spans="1:19" x14ac:dyDescent="0.2">
      <c r="A45" s="26"/>
      <c r="B45" s="64" t="s">
        <v>33</v>
      </c>
      <c r="C45" s="96">
        <f>C38+C43+C44</f>
        <v>0</v>
      </c>
      <c r="D45" s="97"/>
      <c r="E45" s="97"/>
      <c r="F45" s="96">
        <f>F38+F43+F44</f>
        <v>0</v>
      </c>
      <c r="G45" s="97"/>
      <c r="H45" s="97"/>
      <c r="I45" s="57"/>
      <c r="J45" s="57"/>
      <c r="K45" s="57"/>
    </row>
    <row r="46" spans="1:19" ht="34.5" customHeight="1" x14ac:dyDescent="0.2">
      <c r="A46" s="63">
        <v>4</v>
      </c>
      <c r="B46" s="73" t="s">
        <v>136</v>
      </c>
      <c r="C46" s="75"/>
      <c r="D46" s="76"/>
      <c r="E46" s="77"/>
      <c r="F46" s="75"/>
      <c r="G46" s="76"/>
      <c r="H46" s="77"/>
      <c r="I46" s="57"/>
      <c r="J46" s="57"/>
      <c r="K46" s="57"/>
    </row>
    <row r="48" spans="1:19" x14ac:dyDescent="0.2">
      <c r="B48" s="62" t="s">
        <v>132</v>
      </c>
      <c r="C48" s="78"/>
      <c r="D48" s="78"/>
      <c r="E48" s="78"/>
      <c r="F48" s="78"/>
      <c r="G48" s="78"/>
      <c r="H48" s="78"/>
      <c r="I48" s="78"/>
    </row>
  </sheetData>
  <sheetProtection algorithmName="SHA-512" hashValue="1TOOgm7NR4MvJq68c+ijSws/5TJlYPswIFuxsjJs2dGzAujJKnLZUIFd/+XUYj7MjEU2+EERHPEMBl9+zVfj+A==" saltValue="qWWiPlHQzxLEZBbzSrp9uw==" spinCount="100000" sheet="1" objects="1" scenarios="1"/>
  <mergeCells count="30">
    <mergeCell ref="C45:E45"/>
    <mergeCell ref="F45:H45"/>
    <mergeCell ref="C44:E44"/>
    <mergeCell ref="F44:H44"/>
    <mergeCell ref="F43:H43"/>
    <mergeCell ref="C43:E43"/>
    <mergeCell ref="C42:E42"/>
    <mergeCell ref="C41:E41"/>
    <mergeCell ref="F41:H41"/>
    <mergeCell ref="C2:S2"/>
    <mergeCell ref="F3:F4"/>
    <mergeCell ref="J3:J4"/>
    <mergeCell ref="N3:N4"/>
    <mergeCell ref="R3:R4"/>
    <mergeCell ref="F42:H42"/>
    <mergeCell ref="F46:H46"/>
    <mergeCell ref="C48:I48"/>
    <mergeCell ref="B1:S1"/>
    <mergeCell ref="N37:Q37"/>
    <mergeCell ref="C38:E38"/>
    <mergeCell ref="C39:E39"/>
    <mergeCell ref="C40:E40"/>
    <mergeCell ref="F38:H38"/>
    <mergeCell ref="F39:H39"/>
    <mergeCell ref="F40:H40"/>
    <mergeCell ref="F37:H37"/>
    <mergeCell ref="A2:B2"/>
    <mergeCell ref="C37:E37"/>
    <mergeCell ref="C46:E46"/>
    <mergeCell ref="A3:B4"/>
  </mergeCells>
  <phoneticPr fontId="14" type="noConversion"/>
  <conditionalFormatting sqref="I39:J39">
    <cfRule type="colorScale" priority="1">
      <colorScale>
        <cfvo type="num" val="50"/>
        <cfvo type="num" val="60"/>
        <cfvo type="num" val="70"/>
        <color rgb="FFF8696B"/>
        <color rgb="FFFFEB84"/>
        <color rgb="FF63BE7B"/>
      </colorScale>
    </cfRule>
  </conditionalFormatting>
  <pageMargins left="0.75" right="0.75" top="1" bottom="1" header="0" footer="0"/>
  <pageSetup scale="10" orientation="portrait" horizontalDpi="4294967294" verticalDpi="4294967294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view="pageBreakPreview" zoomScale="98" zoomScaleNormal="100" zoomScaleSheetLayoutView="98" workbookViewId="0">
      <selection activeCell="C53" sqref="B16:C53"/>
    </sheetView>
  </sheetViews>
  <sheetFormatPr baseColWidth="10" defaultRowHeight="12.75" x14ac:dyDescent="0.2"/>
  <cols>
    <col min="1" max="1" width="7.42578125" customWidth="1"/>
    <col min="2" max="2" width="62.7109375" style="38" customWidth="1"/>
    <col min="3" max="3" width="72" style="38" customWidth="1"/>
  </cols>
  <sheetData>
    <row r="1" spans="1:3" ht="33.75" customHeight="1" x14ac:dyDescent="0.2">
      <c r="A1" s="39"/>
      <c r="B1" s="40" t="s">
        <v>73</v>
      </c>
      <c r="C1" s="40" t="s">
        <v>72</v>
      </c>
    </row>
    <row r="2" spans="1:3" x14ac:dyDescent="0.2">
      <c r="A2" s="45"/>
      <c r="B2" s="45" t="s">
        <v>35</v>
      </c>
      <c r="C2" s="48" t="s">
        <v>74</v>
      </c>
    </row>
    <row r="3" spans="1:3" x14ac:dyDescent="0.2">
      <c r="A3" s="45"/>
      <c r="B3" s="46" t="s">
        <v>69</v>
      </c>
      <c r="C3" s="48" t="s">
        <v>75</v>
      </c>
    </row>
    <row r="4" spans="1:3" x14ac:dyDescent="0.2">
      <c r="A4" s="45"/>
      <c r="B4" s="46" t="s">
        <v>70</v>
      </c>
      <c r="C4" s="48" t="s">
        <v>76</v>
      </c>
    </row>
    <row r="5" spans="1:3" ht="25.5" x14ac:dyDescent="0.2">
      <c r="A5" s="45">
        <v>1</v>
      </c>
      <c r="B5" s="46" t="s">
        <v>37</v>
      </c>
      <c r="C5" s="48" t="s">
        <v>77</v>
      </c>
    </row>
    <row r="6" spans="1:3" ht="25.5" x14ac:dyDescent="0.2">
      <c r="A6" s="45">
        <v>2</v>
      </c>
      <c r="B6" s="46" t="s">
        <v>38</v>
      </c>
      <c r="C6" s="48" t="s">
        <v>78</v>
      </c>
    </row>
    <row r="7" spans="1:3" ht="25.5" x14ac:dyDescent="0.2">
      <c r="A7" s="45">
        <v>3</v>
      </c>
      <c r="B7" s="46" t="s">
        <v>30</v>
      </c>
      <c r="C7" s="48" t="s">
        <v>79</v>
      </c>
    </row>
    <row r="8" spans="1:3" ht="25.5" x14ac:dyDescent="0.2">
      <c r="A8" s="45">
        <v>4</v>
      </c>
      <c r="B8" s="46" t="s">
        <v>54</v>
      </c>
      <c r="C8" s="48" t="s">
        <v>80</v>
      </c>
    </row>
    <row r="9" spans="1:3" ht="25.5" x14ac:dyDescent="0.2">
      <c r="A9" s="45">
        <v>5</v>
      </c>
      <c r="B9" s="46" t="s">
        <v>55</v>
      </c>
      <c r="C9" s="48" t="s">
        <v>81</v>
      </c>
    </row>
    <row r="10" spans="1:3" ht="25.5" x14ac:dyDescent="0.2">
      <c r="A10" s="45">
        <v>6</v>
      </c>
      <c r="B10" s="46" t="s">
        <v>56</v>
      </c>
      <c r="C10" s="48" t="s">
        <v>82</v>
      </c>
    </row>
    <row r="11" spans="1:3" ht="25.5" x14ac:dyDescent="0.2">
      <c r="A11" s="45">
        <v>7</v>
      </c>
      <c r="B11" s="46" t="s">
        <v>57</v>
      </c>
      <c r="C11" s="48" t="s">
        <v>83</v>
      </c>
    </row>
    <row r="12" spans="1:3" ht="25.5" x14ac:dyDescent="0.2">
      <c r="A12" s="45">
        <v>8</v>
      </c>
      <c r="B12" s="46" t="s">
        <v>58</v>
      </c>
      <c r="C12" s="48" t="s">
        <v>84</v>
      </c>
    </row>
    <row r="13" spans="1:3" ht="25.5" x14ac:dyDescent="0.2">
      <c r="A13" s="45">
        <v>9</v>
      </c>
      <c r="B13" s="46" t="s">
        <v>59</v>
      </c>
      <c r="C13" s="48" t="s">
        <v>85</v>
      </c>
    </row>
    <row r="14" spans="1:3" ht="25.5" x14ac:dyDescent="0.2">
      <c r="A14" s="45">
        <v>10</v>
      </c>
      <c r="B14" s="46" t="s">
        <v>60</v>
      </c>
      <c r="C14" s="48" t="s">
        <v>86</v>
      </c>
    </row>
    <row r="15" spans="1:3" ht="25.5" x14ac:dyDescent="0.2">
      <c r="A15" s="45">
        <v>11</v>
      </c>
      <c r="B15" s="46" t="s">
        <v>61</v>
      </c>
      <c r="C15" s="48" t="s">
        <v>87</v>
      </c>
    </row>
    <row r="16" spans="1:3" ht="25.5" x14ac:dyDescent="0.2">
      <c r="A16" s="45">
        <v>12</v>
      </c>
      <c r="B16" s="46" t="s">
        <v>39</v>
      </c>
      <c r="C16" s="48" t="s">
        <v>88</v>
      </c>
    </row>
    <row r="17" spans="1:3" ht="38.25" x14ac:dyDescent="0.2">
      <c r="A17" s="45">
        <v>13</v>
      </c>
      <c r="B17" s="46" t="s">
        <v>62</v>
      </c>
      <c r="C17" s="48" t="s">
        <v>89</v>
      </c>
    </row>
    <row r="18" spans="1:3" ht="25.5" x14ac:dyDescent="0.2">
      <c r="A18" s="45">
        <v>14</v>
      </c>
      <c r="B18" s="46" t="s">
        <v>31</v>
      </c>
      <c r="C18" s="48" t="s">
        <v>91</v>
      </c>
    </row>
    <row r="19" spans="1:3" ht="25.5" x14ac:dyDescent="0.2">
      <c r="A19" s="45">
        <v>15</v>
      </c>
      <c r="B19" s="46" t="s">
        <v>32</v>
      </c>
      <c r="C19" s="48" t="s">
        <v>90</v>
      </c>
    </row>
    <row r="20" spans="1:3" ht="25.5" x14ac:dyDescent="0.2">
      <c r="A20" s="45">
        <v>16</v>
      </c>
      <c r="B20" s="46" t="s">
        <v>63</v>
      </c>
      <c r="C20" s="48" t="s">
        <v>92</v>
      </c>
    </row>
    <row r="21" spans="1:3" ht="25.5" x14ac:dyDescent="0.2">
      <c r="A21" s="45">
        <v>17</v>
      </c>
      <c r="B21" s="46" t="s">
        <v>121</v>
      </c>
      <c r="C21" s="48" t="s">
        <v>124</v>
      </c>
    </row>
    <row r="22" spans="1:3" ht="25.5" x14ac:dyDescent="0.2">
      <c r="A22" s="45">
        <v>18</v>
      </c>
      <c r="B22" s="46" t="s">
        <v>64</v>
      </c>
      <c r="C22" s="48" t="s">
        <v>93</v>
      </c>
    </row>
    <row r="23" spans="1:3" ht="38.25" x14ac:dyDescent="0.2">
      <c r="A23" s="45">
        <v>19</v>
      </c>
      <c r="B23" s="46" t="s">
        <v>26</v>
      </c>
      <c r="C23" s="48" t="s">
        <v>95</v>
      </c>
    </row>
    <row r="24" spans="1:3" ht="25.5" x14ac:dyDescent="0.2">
      <c r="A24" s="45">
        <v>20</v>
      </c>
      <c r="B24" s="46" t="s">
        <v>29</v>
      </c>
      <c r="C24" s="48" t="s">
        <v>96</v>
      </c>
    </row>
    <row r="25" spans="1:3" ht="25.5" x14ac:dyDescent="0.2">
      <c r="A25" s="45">
        <v>21</v>
      </c>
      <c r="B25" s="46" t="s">
        <v>27</v>
      </c>
      <c r="C25" s="48" t="s">
        <v>97</v>
      </c>
    </row>
    <row r="26" spans="1:3" ht="25.5" x14ac:dyDescent="0.2">
      <c r="A26" s="45">
        <v>22</v>
      </c>
      <c r="B26" s="46" t="s">
        <v>40</v>
      </c>
      <c r="C26" s="48" t="s">
        <v>98</v>
      </c>
    </row>
    <row r="27" spans="1:3" ht="25.5" x14ac:dyDescent="0.2">
      <c r="A27" s="45">
        <v>23</v>
      </c>
      <c r="B27" s="46" t="s">
        <v>28</v>
      </c>
      <c r="C27" s="48" t="s">
        <v>99</v>
      </c>
    </row>
    <row r="28" spans="1:3" ht="25.5" x14ac:dyDescent="0.2">
      <c r="A28" s="45">
        <v>24</v>
      </c>
      <c r="B28" s="46" t="s">
        <v>41</v>
      </c>
      <c r="C28" s="48" t="s">
        <v>100</v>
      </c>
    </row>
    <row r="29" spans="1:3" ht="25.5" x14ac:dyDescent="0.2">
      <c r="A29" s="45">
        <v>25</v>
      </c>
      <c r="B29" s="46" t="s">
        <v>36</v>
      </c>
      <c r="C29" s="48" t="s">
        <v>101</v>
      </c>
    </row>
    <row r="30" spans="1:3" ht="25.5" x14ac:dyDescent="0.2">
      <c r="A30" s="45">
        <v>26</v>
      </c>
      <c r="B30" s="46" t="s">
        <v>42</v>
      </c>
      <c r="C30" s="48" t="s">
        <v>102</v>
      </c>
    </row>
    <row r="31" spans="1:3" ht="25.5" x14ac:dyDescent="0.2">
      <c r="A31" s="45">
        <v>27</v>
      </c>
      <c r="B31" s="46" t="s">
        <v>65</v>
      </c>
      <c r="C31" s="48" t="s">
        <v>103</v>
      </c>
    </row>
    <row r="32" spans="1:3" ht="25.5" x14ac:dyDescent="0.2">
      <c r="A32" s="45">
        <v>28</v>
      </c>
      <c r="B32" s="46" t="s">
        <v>66</v>
      </c>
      <c r="C32" s="48" t="s">
        <v>104</v>
      </c>
    </row>
    <row r="33" spans="1:3" ht="25.5" x14ac:dyDescent="0.2">
      <c r="A33" s="45">
        <v>29</v>
      </c>
      <c r="B33" s="46" t="s">
        <v>122</v>
      </c>
      <c r="C33" s="48" t="s">
        <v>125</v>
      </c>
    </row>
    <row r="34" spans="1:3" ht="25.5" x14ac:dyDescent="0.2">
      <c r="A34" s="45">
        <v>30</v>
      </c>
      <c r="B34" s="46" t="s">
        <v>123</v>
      </c>
      <c r="C34" s="48" t="s">
        <v>126</v>
      </c>
    </row>
    <row r="35" spans="1:3" x14ac:dyDescent="0.2">
      <c r="A35" s="45"/>
      <c r="B35" s="46" t="s">
        <v>47</v>
      </c>
      <c r="C35" s="48"/>
    </row>
    <row r="36" spans="1:3" ht="25.5" x14ac:dyDescent="0.2">
      <c r="A36" s="45">
        <v>1</v>
      </c>
      <c r="B36" s="46" t="s">
        <v>67</v>
      </c>
      <c r="C36" s="48" t="s">
        <v>105</v>
      </c>
    </row>
    <row r="37" spans="1:3" ht="25.5" x14ac:dyDescent="0.2">
      <c r="A37" s="45" t="s">
        <v>50</v>
      </c>
      <c r="B37" s="46" t="s">
        <v>43</v>
      </c>
      <c r="C37" s="48" t="s">
        <v>106</v>
      </c>
    </row>
    <row r="38" spans="1:3" ht="25.5" x14ac:dyDescent="0.2">
      <c r="A38" s="45" t="s">
        <v>51</v>
      </c>
      <c r="B38" s="46" t="s">
        <v>44</v>
      </c>
      <c r="C38" s="48" t="s">
        <v>107</v>
      </c>
    </row>
    <row r="39" spans="1:3" ht="25.5" x14ac:dyDescent="0.2">
      <c r="A39" s="45" t="s">
        <v>52</v>
      </c>
      <c r="B39" s="46" t="s">
        <v>45</v>
      </c>
      <c r="C39" s="48" t="s">
        <v>108</v>
      </c>
    </row>
    <row r="40" spans="1:3" ht="25.5" x14ac:dyDescent="0.2">
      <c r="A40" s="45" t="s">
        <v>53</v>
      </c>
      <c r="B40" s="46" t="s">
        <v>46</v>
      </c>
      <c r="C40" s="48" t="s">
        <v>110</v>
      </c>
    </row>
    <row r="41" spans="1:3" ht="25.5" x14ac:dyDescent="0.2">
      <c r="A41" s="45">
        <v>2</v>
      </c>
      <c r="B41" s="46" t="s">
        <v>49</v>
      </c>
      <c r="C41" s="48" t="s">
        <v>109</v>
      </c>
    </row>
    <row r="42" spans="1:3" ht="25.5" x14ac:dyDescent="0.2">
      <c r="A42" s="45">
        <v>3</v>
      </c>
      <c r="B42" s="46" t="s">
        <v>48</v>
      </c>
      <c r="C42" s="48" t="s">
        <v>111</v>
      </c>
    </row>
    <row r="43" spans="1:3" x14ac:dyDescent="0.2">
      <c r="A43" s="45"/>
      <c r="B43" s="46" t="s">
        <v>33</v>
      </c>
      <c r="C43" s="48" t="s">
        <v>112</v>
      </c>
    </row>
    <row r="44" spans="1:3" ht="33.75" customHeight="1" x14ac:dyDescent="0.2">
      <c r="A44" s="45"/>
      <c r="B44" s="47" t="s">
        <v>71</v>
      </c>
      <c r="C44" s="48" t="s">
        <v>113</v>
      </c>
    </row>
  </sheetData>
  <pageMargins left="0.7" right="0.7" top="0.75" bottom="0.75" header="0.3" footer="0.3"/>
  <pageSetup scale="61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Indicadores de gestión.</vt:lpstr>
      <vt:lpstr>Instructivo.</vt:lpstr>
      <vt:lpstr>'Indicadores de gestión.'!Área_de_impresión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nips</dc:creator>
  <cp:lastModifiedBy>OSCAR ANDRES CRUZ MARTINEZ</cp:lastModifiedBy>
  <dcterms:created xsi:type="dcterms:W3CDTF">2013-06-12T18:18:46Z</dcterms:created>
  <dcterms:modified xsi:type="dcterms:W3CDTF">2023-01-07T18:04:38Z</dcterms:modified>
</cp:coreProperties>
</file>