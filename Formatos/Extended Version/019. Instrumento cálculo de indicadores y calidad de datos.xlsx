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Pago N°1 Contrato 1022 de 2022 Diciembre\2. Obligaciones\Obligación 4\5. Formatos e instrumentos TB PNPCT\"/>
    </mc:Choice>
  </mc:AlternateContent>
  <xr:revisionPtr revIDLastSave="0" documentId="13_ncr:1_{55CD9C6A-8FD6-40E0-A270-725A9C548F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ISTA VERIFICACIÓN" sheetId="1" r:id="rId1"/>
  </sheets>
  <definedNames>
    <definedName name="_xlnm._FilterDatabase" localSheetId="0" hidden="1">'LISTA VERIFICACIÓN'!$A$37:$I$67</definedName>
    <definedName name="_xlnm.Print_Area" localSheetId="0">'LISTA VERIFICACIÓN'!$A$1:$I$68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7" i="1"/>
  <c r="D26" i="1"/>
  <c r="D7" i="1"/>
  <c r="D6" i="1"/>
  <c r="D34" i="1"/>
  <c r="D33" i="1"/>
  <c r="D32" i="1"/>
  <c r="D31" i="1"/>
  <c r="D30" i="1"/>
  <c r="D29" i="1"/>
  <c r="E63" i="1" l="1"/>
  <c r="G63" i="1"/>
  <c r="F63" i="1"/>
  <c r="H63" i="1" l="1"/>
  <c r="I63" i="1" s="1"/>
  <c r="G35" i="1" l="1"/>
  <c r="F35" i="1"/>
  <c r="E35" i="1"/>
  <c r="D25" i="1"/>
  <c r="D24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H35" i="1" l="1"/>
  <c r="I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ANDRES CRUZ MARTINEZ</author>
  </authors>
  <commentList>
    <comment ref="B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OSCAR ANDRES CRUZ MARTINEZ:</t>
        </r>
        <r>
          <rPr>
            <sz val="9"/>
            <color indexed="81"/>
            <rFont val="Tahoma"/>
            <family val="2"/>
          </rPr>
          <t xml:space="preserve">
Ingrese la población del año correspondiente que va a evaluar</t>
        </r>
      </text>
    </comment>
    <comment ref="H3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OSCAR ANDRES CRUZ MARTINEZ:</t>
        </r>
        <r>
          <rPr>
            <sz val="9"/>
            <color indexed="81"/>
            <rFont val="Tahoma"/>
            <family val="2"/>
          </rPr>
          <t xml:space="preserve">
Ingrese el número 1 según corresponda
</t>
        </r>
      </text>
    </comment>
  </commentList>
</comments>
</file>

<file path=xl/sharedStrings.xml><?xml version="1.0" encoding="utf-8"?>
<sst xmlns="http://schemas.openxmlformats.org/spreadsheetml/2006/main" count="83" uniqueCount="79">
  <si>
    <t xml:space="preserve">Indicador </t>
  </si>
  <si>
    <t>N°</t>
  </si>
  <si>
    <t>Cumple</t>
  </si>
  <si>
    <t>Cumple Parcial</t>
  </si>
  <si>
    <t>No Cumple</t>
  </si>
  <si>
    <t xml:space="preserve">Observaciones y recomendaciones </t>
  </si>
  <si>
    <t xml:space="preserve">Casos de TB en menos de 15 años </t>
  </si>
  <si>
    <t>Casos de TB con APV para VIH</t>
  </si>
  <si>
    <t>¿Existe duplicidad en el reporte de casos de TB?</t>
  </si>
  <si>
    <t xml:space="preserve">¿Existe adecuado diligenciamiento de estructura nombres, apellidos? </t>
  </si>
  <si>
    <t>¿Existe adecuado diligenciamiento de sexo y edad?</t>
  </si>
  <si>
    <t xml:space="preserve">¿Existe adecuado reporte de pertinencia étnica y grupos poblacionales? </t>
  </si>
  <si>
    <t xml:space="preserve">Casos de TB TF SIVIGILA </t>
  </si>
  <si>
    <t>% Concordancia de las fuentes información Programa y SIVIGILA.</t>
  </si>
  <si>
    <t xml:space="preserve">Cumple Parcial </t>
  </si>
  <si>
    <t xml:space="preserve">No cumple </t>
  </si>
  <si>
    <t>¿El 100% de casos de TB previamente tratados reportan prueba de sensibilidad a fármacos?</t>
  </si>
  <si>
    <t>¿Existe adecuado diligenciamiento de las comorbilidades asociadas?</t>
  </si>
  <si>
    <t xml:space="preserve">Casos de quimioprofilaxis en personas con VIH/SIDA. </t>
  </si>
  <si>
    <t>¿El 100% de casos de TB registran la realización de la Asesoria y Prueba Voluntaria para VIH/SIDA?</t>
  </si>
  <si>
    <t>¿El 100% de casos de TB-VIH registran acceso a ARV?</t>
  </si>
  <si>
    <t>¿El 100% de casos de TB-VIH registran acceso a TMSX ?</t>
  </si>
  <si>
    <t>¿Se registran los controles bacteriológicos en el 100% de casos pulmonares?</t>
  </si>
  <si>
    <t>Casos de Coinfección TB VIH con ARV</t>
  </si>
  <si>
    <t>Casos de TB MDR y RR</t>
  </si>
  <si>
    <t xml:space="preserve">Casos de TB mono H </t>
  </si>
  <si>
    <t>No Aplica</t>
  </si>
  <si>
    <t>No aplica</t>
  </si>
  <si>
    <t xml:space="preserve">Casos de TB Todas las formas del programa </t>
  </si>
  <si>
    <t xml:space="preserve">Casos de coinfección TB -VIH </t>
  </si>
  <si>
    <t>Casos de coinfección TB-VIH con acceso TMSX</t>
  </si>
  <si>
    <t xml:space="preserve">Casos de quimioprofilaxis en menores de 15 años </t>
  </si>
  <si>
    <t xml:space="preserve">¿Existe adecuado reporte de datos de contacto del paciente dirección, teléfono y municipio? </t>
  </si>
  <si>
    <t xml:space="preserve">¿Existe oportunidad en la evaluación de la condición de egreso acorde a la periodicidad de evaluación de la cohorte retrospectiva (9-12meses)? </t>
  </si>
  <si>
    <t xml:space="preserve">Nombre profesional que revisa: </t>
  </si>
  <si>
    <t xml:space="preserve">OBSERVACIONES Y RECOMENDACIONES GENERALES:  
</t>
  </si>
  <si>
    <r>
      <t>COMPROMISOS.</t>
    </r>
    <r>
      <rPr>
        <sz val="16"/>
        <color theme="1"/>
        <rFont val="Arial Narrow"/>
        <family val="2"/>
      </rPr>
      <t xml:space="preserve">
</t>
    </r>
  </si>
  <si>
    <t xml:space="preserve">Casos de TB pulmonares y extrapulmonares (nuevos y recaídas)  </t>
  </si>
  <si>
    <t>Casos en quimioprofilaxis con TPI (Terapia Preventiva Isoniazida y Isoniacida rifapentina)</t>
  </si>
  <si>
    <t xml:space="preserve">Casos de TB pulmonar y extrapulmonar ( nuevo y recaída) con tratamiento curado y terminado  </t>
  </si>
  <si>
    <t xml:space="preserve">Casos de TB con pérdida en el seguimiento al tratamiento  </t>
  </si>
  <si>
    <t xml:space="preserve">Casos de TB con fracaso en el tratamiento </t>
  </si>
  <si>
    <t xml:space="preserve">Casos de TB fallecidos </t>
  </si>
  <si>
    <t xml:space="preserve">Casos de TB sin evaluar </t>
  </si>
  <si>
    <t>Casos de TB MDR y RR con tratamiento exitoso</t>
  </si>
  <si>
    <t>Población DANE:</t>
  </si>
  <si>
    <t>Indicador %</t>
  </si>
  <si>
    <t xml:space="preserve">Criterios de calidad en el reporte de los datos. </t>
  </si>
  <si>
    <t xml:space="preserve">¿Se reporta la información en los tiempos establecidos (20 dias hábiles cumplido el trimestre/mes)? </t>
  </si>
  <si>
    <t xml:space="preserve">Porcentaje de evaluación: </t>
  </si>
  <si>
    <t xml:space="preserve">Total de Casos de TB Pulmonar </t>
  </si>
  <si>
    <t xml:space="preserve">Total Casos de TB extrapulmonar </t>
  </si>
  <si>
    <t xml:space="preserve">Total Casos de TB nuevos </t>
  </si>
  <si>
    <t xml:space="preserve">Total Casos de TB previamente tratados </t>
  </si>
  <si>
    <t>Casos de TB previamente tratados con pruebas de sensibilidad (R+H)</t>
  </si>
  <si>
    <t>Casos de TB nuevos con pruebas de sensibilidad (R o R+H)</t>
  </si>
  <si>
    <t>Total de casos de Farmacorresistencia</t>
  </si>
  <si>
    <t>EVALUACIÓN 
(ingrese el número 1 en la casilla que corresponda)</t>
  </si>
  <si>
    <t>¿Se reporta la información en el formato establecido por el PNTC disponible en la página web?</t>
  </si>
  <si>
    <t xml:space="preserve">¿Existe adecuado diligenciamiento del nivel departamento y municipio de diagnóstico y residencia? </t>
  </si>
  <si>
    <t>¿ Existe correcto diligenciamiento de la fecha de inicio a tratamiento y el trimestre del año que corresponde?</t>
  </si>
  <si>
    <t xml:space="preserve">¿Se diligencia correctamente los datos de afiliación del paciente según la EAPB? </t>
  </si>
  <si>
    <t>¿Los casos de TB reportan prueba molecular y cultivo ?</t>
  </si>
  <si>
    <t xml:space="preserve">¿Los casos de TB extrapulmonar registran pruba molecular y cultivo? </t>
  </si>
  <si>
    <t xml:space="preserve">¿Existe adecuado diligenciamiento de tipo de TDO, metodología de captación del caso, reacciones adversas y programas sociales? </t>
  </si>
  <si>
    <t>¿Existe adecuado diligenciamiento de libro de quimioprofilaxis y cuentan con cierres de egreso?</t>
  </si>
  <si>
    <t>¿Se diligencia de manera correcta clasificación MDR, RR, Mono H, XDR, según reporte de sensibilidad de fármacos?</t>
  </si>
  <si>
    <t>¿Se realiza evaluación de la condición de egreso de casos de TB farmacoresistente de manera oportuna?</t>
  </si>
  <si>
    <t>¿Se cuenta con completitud en el diligenciamiento de las variables de la base de TB FR?</t>
  </si>
  <si>
    <t xml:space="preserve">¿Se carga la información en el aplicativo FTP de manera correcta o el medio que dispone la ET? </t>
  </si>
  <si>
    <t>RESPONSABLE PROGRAMA TB SISTEMA INFORMACIÓN</t>
  </si>
  <si>
    <t>Total casos de TB nuevos y recaídas (casos residentes)                                (tasa incidencia x100mil )</t>
  </si>
  <si>
    <t>Total casos de TB TF causa básica muerte por TB. EEVV                            (tasa mortalidad x 100mil)</t>
  </si>
  <si>
    <t xml:space="preserve">EVALUACIÓN INDICADORES 
Mayor o igual al 80% de items alto, entre 79 al 59% medio y menor a 58% bajo. </t>
  </si>
  <si>
    <t xml:space="preserve">Elaboró: Oscar Andrés Cruz M. Referente técnico- Programa Nacional de Prevención y Control de la Tuberculosis 24/08/2022 </t>
  </si>
  <si>
    <t>MINISTERIO DE SALUD Y PROTECCIÓN SOCIAL
DIRECCIÓN DE PROMOCIÓN Y PREVENCIÓN- SUBDIRECCIÓN DE ENFERMEDADES TRANSMISIBLES
PROGRAMA NACIONAL DE CONTROL DE LA TUBERCULOSIS 
INSTRUMENTO DE EVALUACIÓN RAPIDA DE INDICADORES DE TUBERCULOSIS Y 
DE CALIDAD DE DATOS REPORTADOS 
Versión N°002 24/08/2022</t>
  </si>
  <si>
    <t xml:space="preserve">Entidad Territorial: </t>
  </si>
  <si>
    <t xml:space="preserve">AÑO:  </t>
  </si>
  <si>
    <t xml:space="preserve">Fecha de diligenciamiento: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</si>
</sst>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1" formatCode="_-* #,##0_-;\-* #,##0_-;_-* &quot;-&quot;_-;_-@_-"/>
    <numFmt numFmtId="164" formatCode="0.0"/>
    <numFmt numFmtId="165" formatCode="_-* #,##0.00_-;\-* #,##0.00_-;_-* &quot;-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Arial Narrow"/>
      <family val="2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Arial Narrow"/>
      <family val="2"/>
    </font>
    <font>
      <sz val="16"/>
      <name val="Arial Narrow"/>
      <family val="2"/>
    </font>
    <font>
      <sz val="16"/>
      <color theme="1"/>
      <name val="Arial Narrow"/>
      <family val="2"/>
    </font>
    <font>
      <b/>
      <sz val="11"/>
      <name val="Calibri"/>
      <family val="2"/>
      <scheme val="minor"/>
    </font>
    <font>
      <b/>
      <sz val="10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6" fillId="3" borderId="6" xfId="0" applyFont="1" applyFill="1" applyBorder="1" applyAlignment="1" applyProtection="1">
      <alignment horizontal="center" vertical="center" wrapText="1"/>
      <protection locked="0"/>
    </xf>
    <xf numFmtId="0" fontId="6" fillId="4" borderId="6" xfId="0" applyFont="1" applyFill="1" applyBorder="1" applyAlignment="1" applyProtection="1">
      <alignment horizontal="center" vertical="center" wrapText="1"/>
      <protection locked="0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8" fillId="3" borderId="19" xfId="0" applyFont="1" applyFill="1" applyBorder="1" applyAlignment="1" applyProtection="1">
      <alignment horizontal="left" vertical="center"/>
      <protection locked="0"/>
    </xf>
    <xf numFmtId="0" fontId="6" fillId="3" borderId="15" xfId="0" applyFont="1" applyFill="1" applyBorder="1" applyAlignment="1" applyProtection="1">
      <alignment horizontal="center" vertical="center" wrapText="1"/>
      <protection locked="0"/>
    </xf>
    <xf numFmtId="0" fontId="8" fillId="3" borderId="19" xfId="0" applyFont="1" applyFill="1" applyBorder="1" applyAlignment="1" applyProtection="1">
      <alignment horizontal="left" vertical="center" wrapText="1"/>
      <protection locked="0"/>
    </xf>
    <xf numFmtId="0" fontId="7" fillId="3" borderId="7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center"/>
    </xf>
    <xf numFmtId="0" fontId="8" fillId="0" borderId="16" xfId="0" applyFont="1" applyBorder="1"/>
    <xf numFmtId="0" fontId="8" fillId="0" borderId="8" xfId="0" applyFont="1" applyBorder="1" applyAlignment="1">
      <alignment vertical="center"/>
    </xf>
    <xf numFmtId="0" fontId="8" fillId="0" borderId="8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6" fillId="2" borderId="6" xfId="1" applyNumberFormat="1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3" fillId="3" borderId="7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vertical="center"/>
      <protection locked="0"/>
    </xf>
    <xf numFmtId="0" fontId="3" fillId="3" borderId="5" xfId="0" applyFont="1" applyFill="1" applyBorder="1" applyAlignment="1" applyProtection="1">
      <alignment vertical="center"/>
      <protection locked="0"/>
    </xf>
    <xf numFmtId="164" fontId="3" fillId="3" borderId="19" xfId="0" applyNumberFormat="1" applyFont="1" applyFill="1" applyBorder="1" applyAlignment="1" applyProtection="1">
      <alignment horizontal="center" vertical="center"/>
      <protection locked="0"/>
    </xf>
    <xf numFmtId="0" fontId="8" fillId="3" borderId="9" xfId="0" applyFont="1" applyFill="1" applyBorder="1" applyAlignment="1" applyProtection="1">
      <alignment horizontal="left" vertical="center" wrapText="1"/>
      <protection locked="0"/>
    </xf>
    <xf numFmtId="0" fontId="8" fillId="3" borderId="20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/>
    <xf numFmtId="0" fontId="6" fillId="3" borderId="6" xfId="1" applyNumberFormat="1" applyFont="1" applyFill="1" applyBorder="1" applyAlignment="1" applyProtection="1">
      <alignment horizontal="center" vertical="center"/>
      <protection locked="0"/>
    </xf>
    <xf numFmtId="0" fontId="6" fillId="3" borderId="6" xfId="0" applyFont="1" applyFill="1" applyBorder="1" applyAlignment="1" applyProtection="1">
      <alignment horizontal="center" vertical="center"/>
      <protection locked="0"/>
    </xf>
    <xf numFmtId="0" fontId="6" fillId="3" borderId="2" xfId="1" applyNumberFormat="1" applyFont="1" applyFill="1" applyBorder="1" applyAlignment="1" applyProtection="1">
      <alignment horizontal="center"/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164" fontId="7" fillId="3" borderId="6" xfId="0" applyNumberFormat="1" applyFont="1" applyFill="1" applyBorder="1" applyAlignment="1">
      <alignment horizontal="center" vertical="center"/>
    </xf>
    <xf numFmtId="164" fontId="8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top"/>
    </xf>
    <xf numFmtId="0" fontId="3" fillId="3" borderId="13" xfId="0" applyFont="1" applyFill="1" applyBorder="1" applyAlignment="1">
      <alignment horizontal="left" vertical="top"/>
    </xf>
    <xf numFmtId="0" fontId="3" fillId="3" borderId="14" xfId="0" applyFont="1" applyFill="1" applyBorder="1" applyAlignment="1">
      <alignment horizontal="left" vertical="top"/>
    </xf>
    <xf numFmtId="0" fontId="3" fillId="3" borderId="7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0" fontId="3" fillId="3" borderId="7" xfId="0" applyFont="1" applyFill="1" applyBorder="1" applyAlignment="1">
      <alignment horizontal="left" vertical="center" wrapText="1"/>
    </xf>
    <xf numFmtId="164" fontId="8" fillId="3" borderId="5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left" vertical="center"/>
    </xf>
    <xf numFmtId="165" fontId="3" fillId="3" borderId="6" xfId="2" applyNumberFormat="1" applyFont="1" applyFill="1" applyBorder="1" applyAlignment="1" applyProtection="1">
      <alignment horizontal="center" vertical="center" wrapText="1"/>
    </xf>
    <xf numFmtId="165" fontId="3" fillId="3" borderId="6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 applyProtection="1">
      <alignment horizontal="center" vertical="center"/>
      <protection locked="0"/>
    </xf>
    <xf numFmtId="0" fontId="6" fillId="5" borderId="6" xfId="0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8" fillId="8" borderId="8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/>
    </xf>
    <xf numFmtId="0" fontId="8" fillId="8" borderId="8" xfId="0" applyFont="1" applyFill="1" applyBorder="1" applyAlignment="1">
      <alignment horizontal="left"/>
    </xf>
    <xf numFmtId="41" fontId="3" fillId="5" borderId="6" xfId="2" applyFont="1" applyFill="1" applyBorder="1" applyAlignment="1" applyProtection="1">
      <alignment horizontal="center" vertical="center" wrapText="1"/>
      <protection locked="0"/>
    </xf>
    <xf numFmtId="0" fontId="6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6" fillId="3" borderId="3" xfId="0" applyFont="1" applyFill="1" applyBorder="1" applyAlignment="1" applyProtection="1">
      <alignment horizontal="center" vertical="center" wrapText="1"/>
      <protection locked="0"/>
    </xf>
    <xf numFmtId="0" fontId="6" fillId="3" borderId="6" xfId="1" applyNumberFormat="1" applyFont="1" applyFill="1" applyBorder="1" applyAlignment="1" applyProtection="1">
      <alignment horizontal="center"/>
      <protection locked="0"/>
    </xf>
    <xf numFmtId="0" fontId="6" fillId="3" borderId="6" xfId="0" applyFont="1" applyFill="1" applyBorder="1" applyAlignment="1" applyProtection="1">
      <alignment horizontal="center"/>
      <protection locked="0"/>
    </xf>
    <xf numFmtId="0" fontId="7" fillId="3" borderId="7" xfId="0" applyFont="1" applyFill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vertical="center" wrapText="1"/>
      <protection locked="0"/>
    </xf>
    <xf numFmtId="0" fontId="3" fillId="0" borderId="9" xfId="0" applyFont="1" applyBorder="1" applyAlignment="1" applyProtection="1">
      <alignment vertical="center"/>
      <protection locked="0"/>
    </xf>
    <xf numFmtId="0" fontId="3" fillId="7" borderId="6" xfId="0" applyFont="1" applyFill="1" applyBorder="1" applyAlignment="1" applyProtection="1">
      <alignment vertical="center" wrapText="1"/>
      <protection locked="0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164" fontId="10" fillId="3" borderId="19" xfId="0" applyNumberFormat="1" applyFont="1" applyFill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9" xfId="0" applyFont="1" applyBorder="1" applyAlignment="1" applyProtection="1">
      <alignment horizontal="left" vertical="center" wrapText="1"/>
      <protection locked="0"/>
    </xf>
    <xf numFmtId="0" fontId="8" fillId="3" borderId="9" xfId="0" applyFont="1" applyFill="1" applyBorder="1" applyAlignment="1" applyProtection="1">
      <alignment vertical="center" wrapText="1"/>
      <protection locked="0"/>
    </xf>
    <xf numFmtId="0" fontId="3" fillId="3" borderId="9" xfId="0" applyFont="1" applyFill="1" applyBorder="1" applyAlignment="1" applyProtection="1">
      <alignment vertical="center" wrapText="1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164" fontId="3" fillId="3" borderId="9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3" fillId="3" borderId="7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0" fontId="3" fillId="0" borderId="7" xfId="0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6" fillId="7" borderId="7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3" fillId="0" borderId="6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center" wrapText="1"/>
      <protection locked="0"/>
    </xf>
    <xf numFmtId="0" fontId="3" fillId="0" borderId="11" xfId="0" applyFont="1" applyBorder="1" applyAlignment="1" applyProtection="1">
      <alignment horizontal="center" wrapText="1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0" fontId="3" fillId="8" borderId="7" xfId="0" applyFont="1" applyFill="1" applyBorder="1" applyAlignment="1" applyProtection="1">
      <alignment horizontal="center" vertical="center" wrapText="1"/>
      <protection locked="0"/>
    </xf>
    <xf numFmtId="0" fontId="3" fillId="8" borderId="1" xfId="0" applyFont="1" applyFill="1" applyBorder="1" applyAlignment="1" applyProtection="1">
      <alignment horizontal="center" vertical="center"/>
      <protection locked="0"/>
    </xf>
    <xf numFmtId="0" fontId="3" fillId="8" borderId="5" xfId="0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3" borderId="5" xfId="0" applyFont="1" applyFill="1" applyBorder="1" applyAlignment="1">
      <alignment vertical="top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3" borderId="6" xfId="0" applyFont="1" applyFill="1" applyBorder="1" applyAlignment="1">
      <alignment vertical="top"/>
    </xf>
    <xf numFmtId="0" fontId="3" fillId="3" borderId="6" xfId="0" applyFont="1" applyFill="1" applyBorder="1" applyAlignment="1">
      <alignment vertical="top" wrapText="1"/>
    </xf>
    <xf numFmtId="0" fontId="3" fillId="3" borderId="6" xfId="0" applyFont="1" applyFill="1" applyBorder="1" applyAlignment="1">
      <alignment horizontal="left" vertical="top"/>
    </xf>
    <xf numFmtId="0" fontId="3" fillId="3" borderId="7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3" fillId="7" borderId="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wrapText="1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left" vertical="center"/>
    </xf>
  </cellXfs>
  <cellStyles count="3">
    <cellStyle name="Millares [0]" xfId="2" builtinId="6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254000</xdr:rowOff>
    </xdr:from>
    <xdr:to>
      <xdr:col>1</xdr:col>
      <xdr:colOff>4095750</xdr:colOff>
      <xdr:row>0</xdr:row>
      <xdr:rowOff>901700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375" y="254000"/>
          <a:ext cx="3810000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8"/>
  <sheetViews>
    <sheetView tabSelected="1" view="pageBreakPreview" zoomScale="60" zoomScaleNormal="100" workbookViewId="0">
      <selection activeCell="C2" sqref="C2:H2"/>
    </sheetView>
  </sheetViews>
  <sheetFormatPr baseColWidth="10" defaultRowHeight="21" x14ac:dyDescent="0.5"/>
  <cols>
    <col min="1" max="1" width="4.453125" bestFit="1" customWidth="1"/>
    <col min="2" max="2" width="88.1796875" customWidth="1"/>
    <col min="3" max="3" width="22.54296875" customWidth="1"/>
    <col min="4" max="4" width="24.453125" customWidth="1"/>
    <col min="5" max="7" width="12.1796875" style="32" customWidth="1"/>
    <col min="8" max="8" width="12.1796875" style="3" customWidth="1"/>
    <col min="9" max="9" width="94.1796875" style="27" customWidth="1"/>
    <col min="10" max="10" width="14.7265625" hidden="1" customWidth="1"/>
  </cols>
  <sheetData>
    <row r="1" spans="1:9" ht="201.75" customHeight="1" x14ac:dyDescent="0.4">
      <c r="A1" s="14"/>
      <c r="B1" s="125" t="s">
        <v>75</v>
      </c>
      <c r="C1" s="126"/>
      <c r="D1" s="126"/>
      <c r="E1" s="126"/>
      <c r="F1" s="126"/>
      <c r="G1" s="126"/>
      <c r="H1" s="126"/>
      <c r="I1" s="127"/>
    </row>
    <row r="2" spans="1:9" ht="30.75" customHeight="1" x14ac:dyDescent="0.35">
      <c r="A2" s="15"/>
      <c r="B2" s="73" t="s">
        <v>76</v>
      </c>
      <c r="C2" s="90" t="s">
        <v>78</v>
      </c>
      <c r="D2" s="91"/>
      <c r="E2" s="91"/>
      <c r="F2" s="91"/>
      <c r="G2" s="91"/>
      <c r="H2" s="92"/>
      <c r="I2" s="74" t="s">
        <v>34</v>
      </c>
    </row>
    <row r="3" spans="1:9" ht="44.25" customHeight="1" x14ac:dyDescent="0.4">
      <c r="A3" s="124" t="s">
        <v>1</v>
      </c>
      <c r="B3" s="75" t="s">
        <v>77</v>
      </c>
      <c r="C3" s="128"/>
      <c r="D3" s="128"/>
      <c r="E3" s="93" t="s">
        <v>57</v>
      </c>
      <c r="F3" s="94"/>
      <c r="G3" s="94"/>
      <c r="H3" s="95"/>
      <c r="I3" s="123" t="s">
        <v>5</v>
      </c>
    </row>
    <row r="4" spans="1:9" ht="48" customHeight="1" x14ac:dyDescent="0.35">
      <c r="A4" s="124"/>
      <c r="B4" s="75" t="s">
        <v>0</v>
      </c>
      <c r="C4" s="50" t="s">
        <v>1</v>
      </c>
      <c r="D4" s="50" t="s">
        <v>46</v>
      </c>
      <c r="E4" s="76" t="s">
        <v>2</v>
      </c>
      <c r="F4" s="76" t="s">
        <v>14</v>
      </c>
      <c r="G4" s="76" t="s">
        <v>15</v>
      </c>
      <c r="H4" s="77" t="s">
        <v>26</v>
      </c>
      <c r="I4" s="123"/>
    </row>
    <row r="5" spans="1:9" ht="48" customHeight="1" x14ac:dyDescent="0.35">
      <c r="A5" s="51"/>
      <c r="B5" s="52" t="s">
        <v>45</v>
      </c>
      <c r="C5" s="66"/>
      <c r="D5" s="53"/>
      <c r="E5" s="9"/>
      <c r="F5" s="9"/>
      <c r="G5" s="9"/>
      <c r="H5" s="9"/>
      <c r="I5" s="84"/>
    </row>
    <row r="6" spans="1:9" ht="48" customHeight="1" x14ac:dyDescent="0.35">
      <c r="A6" s="51">
        <v>1</v>
      </c>
      <c r="B6" s="52" t="s">
        <v>71</v>
      </c>
      <c r="C6" s="66"/>
      <c r="D6" s="55" t="e">
        <f>C6/C5*100000</f>
        <v>#DIV/0!</v>
      </c>
      <c r="E6" s="9"/>
      <c r="F6" s="9"/>
      <c r="G6" s="9"/>
      <c r="H6" s="9"/>
      <c r="I6" s="84"/>
    </row>
    <row r="7" spans="1:9" ht="48" customHeight="1" x14ac:dyDescent="0.35">
      <c r="A7" s="51">
        <v>2</v>
      </c>
      <c r="B7" s="52" t="s">
        <v>72</v>
      </c>
      <c r="C7" s="66"/>
      <c r="D7" s="56" t="e">
        <f>C7/C5*100000</f>
        <v>#DIV/0!</v>
      </c>
      <c r="E7" s="9"/>
      <c r="F7" s="9"/>
      <c r="G7" s="9"/>
      <c r="H7" s="9"/>
      <c r="I7" s="84"/>
    </row>
    <row r="8" spans="1:9" s="1" customFormat="1" ht="36.75" customHeight="1" x14ac:dyDescent="0.45">
      <c r="A8" s="54">
        <v>3</v>
      </c>
      <c r="B8" s="37" t="s">
        <v>28</v>
      </c>
      <c r="C8" s="57"/>
      <c r="D8" s="33" t="e">
        <f>C8*100/C8</f>
        <v>#DIV/0!</v>
      </c>
      <c r="E8" s="9"/>
      <c r="F8" s="9"/>
      <c r="G8" s="9"/>
      <c r="H8" s="9"/>
      <c r="I8" s="25"/>
    </row>
    <row r="9" spans="1:9" s="1" customFormat="1" ht="36.75" customHeight="1" x14ac:dyDescent="0.45">
      <c r="A9" s="51">
        <v>4</v>
      </c>
      <c r="B9" s="38" t="s">
        <v>12</v>
      </c>
      <c r="C9" s="57"/>
      <c r="D9" s="33" t="e">
        <f t="shared" ref="D9" si="0">C9*100/C9</f>
        <v>#DIV/0!</v>
      </c>
      <c r="E9" s="9"/>
      <c r="F9" s="9"/>
      <c r="G9" s="9"/>
      <c r="H9" s="9"/>
      <c r="I9" s="25"/>
    </row>
    <row r="10" spans="1:9" s="1" customFormat="1" ht="36.75" customHeight="1" x14ac:dyDescent="0.45">
      <c r="A10" s="51">
        <v>5</v>
      </c>
      <c r="B10" s="38" t="s">
        <v>13</v>
      </c>
      <c r="C10" s="57"/>
      <c r="D10" s="34" t="e">
        <f>C9*100/C8</f>
        <v>#DIV/0!</v>
      </c>
      <c r="E10" s="9"/>
      <c r="F10" s="9"/>
      <c r="G10" s="9"/>
      <c r="H10" s="9"/>
      <c r="I10" s="25"/>
    </row>
    <row r="11" spans="1:9" s="1" customFormat="1" ht="36.75" customHeight="1" x14ac:dyDescent="0.45">
      <c r="A11" s="54">
        <v>6</v>
      </c>
      <c r="B11" s="38" t="s">
        <v>50</v>
      </c>
      <c r="C11" s="57"/>
      <c r="D11" s="34" t="e">
        <f>C11*100/C8</f>
        <v>#DIV/0!</v>
      </c>
      <c r="E11" s="9"/>
      <c r="F11" s="9"/>
      <c r="G11" s="9"/>
      <c r="H11" s="9"/>
      <c r="I11" s="25"/>
    </row>
    <row r="12" spans="1:9" s="2" customFormat="1" ht="36.75" customHeight="1" x14ac:dyDescent="0.45">
      <c r="A12" s="51">
        <v>7</v>
      </c>
      <c r="B12" s="38" t="s">
        <v>51</v>
      </c>
      <c r="C12" s="58"/>
      <c r="D12" s="34" t="e">
        <f>C12*100/C8</f>
        <v>#DIV/0!</v>
      </c>
      <c r="E12" s="9"/>
      <c r="F12" s="9"/>
      <c r="G12" s="9"/>
      <c r="H12" s="9"/>
      <c r="I12" s="25"/>
    </row>
    <row r="13" spans="1:9" s="2" customFormat="1" ht="36.75" customHeight="1" x14ac:dyDescent="0.45">
      <c r="A13" s="51">
        <v>8</v>
      </c>
      <c r="B13" s="38" t="s">
        <v>52</v>
      </c>
      <c r="C13" s="57"/>
      <c r="D13" s="34" t="e">
        <f>C13*100/C8</f>
        <v>#DIV/0!</v>
      </c>
      <c r="E13" s="9"/>
      <c r="F13" s="9"/>
      <c r="G13" s="9"/>
      <c r="H13" s="9"/>
      <c r="I13" s="25"/>
    </row>
    <row r="14" spans="1:9" s="2" customFormat="1" ht="36.75" customHeight="1" x14ac:dyDescent="0.45">
      <c r="A14" s="54">
        <v>9</v>
      </c>
      <c r="B14" s="38" t="s">
        <v>53</v>
      </c>
      <c r="C14" s="58"/>
      <c r="D14" s="34" t="e">
        <f>C14*100/C8</f>
        <v>#DIV/0!</v>
      </c>
      <c r="E14" s="9"/>
      <c r="F14" s="9"/>
      <c r="G14" s="9"/>
      <c r="H14" s="9"/>
      <c r="I14" s="25"/>
    </row>
    <row r="15" spans="1:9" s="2" customFormat="1" ht="36.75" customHeight="1" x14ac:dyDescent="0.45">
      <c r="A15" s="51">
        <v>10</v>
      </c>
      <c r="B15" s="38" t="s">
        <v>6</v>
      </c>
      <c r="C15" s="57"/>
      <c r="D15" s="35" t="e">
        <f>C15*100/C8</f>
        <v>#DIV/0!</v>
      </c>
      <c r="E15" s="9"/>
      <c r="F15" s="9"/>
      <c r="G15" s="9"/>
      <c r="H15" s="9"/>
      <c r="I15" s="25"/>
    </row>
    <row r="16" spans="1:9" s="2" customFormat="1" ht="36.75" customHeight="1" x14ac:dyDescent="0.45">
      <c r="A16" s="51">
        <v>11</v>
      </c>
      <c r="B16" s="39" t="s">
        <v>54</v>
      </c>
      <c r="C16" s="57"/>
      <c r="D16" s="35" t="e">
        <f>C16*100/C14</f>
        <v>#DIV/0!</v>
      </c>
      <c r="E16" s="9"/>
      <c r="F16" s="9"/>
      <c r="G16" s="9"/>
      <c r="H16" s="9"/>
      <c r="I16" s="25"/>
    </row>
    <row r="17" spans="1:9" s="2" customFormat="1" ht="36.75" customHeight="1" x14ac:dyDescent="0.45">
      <c r="A17" s="54">
        <v>12</v>
      </c>
      <c r="B17" s="39" t="s">
        <v>55</v>
      </c>
      <c r="C17" s="58"/>
      <c r="D17" s="35" t="e">
        <f>C17*100/C13</f>
        <v>#DIV/0!</v>
      </c>
      <c r="E17" s="9"/>
      <c r="F17" s="9"/>
      <c r="G17" s="9"/>
      <c r="H17" s="9"/>
      <c r="I17" s="25"/>
    </row>
    <row r="18" spans="1:9" s="2" customFormat="1" ht="36.75" customHeight="1" x14ac:dyDescent="0.45">
      <c r="A18" s="51">
        <v>13</v>
      </c>
      <c r="B18" s="38" t="s">
        <v>37</v>
      </c>
      <c r="C18" s="57"/>
      <c r="D18" s="35" t="e">
        <f>C18*100/C8</f>
        <v>#DIV/0!</v>
      </c>
      <c r="E18" s="9"/>
      <c r="F18" s="9"/>
      <c r="G18" s="9"/>
      <c r="H18" s="9"/>
      <c r="I18" s="25"/>
    </row>
    <row r="19" spans="1:9" s="2" customFormat="1" ht="36.75" customHeight="1" x14ac:dyDescent="0.45">
      <c r="A19" s="51">
        <v>14</v>
      </c>
      <c r="B19" s="38" t="s">
        <v>7</v>
      </c>
      <c r="C19" s="57"/>
      <c r="D19" s="35" t="e">
        <f>C19*100/C8</f>
        <v>#DIV/0!</v>
      </c>
      <c r="E19" s="9"/>
      <c r="F19" s="9"/>
      <c r="G19" s="9"/>
      <c r="H19" s="9"/>
      <c r="I19" s="25"/>
    </row>
    <row r="20" spans="1:9" s="2" customFormat="1" ht="36.75" customHeight="1" x14ac:dyDescent="0.45">
      <c r="A20" s="54">
        <v>15</v>
      </c>
      <c r="B20" s="38" t="s">
        <v>29</v>
      </c>
      <c r="C20" s="57"/>
      <c r="D20" s="35" t="e">
        <f>C20*100/C8</f>
        <v>#DIV/0!</v>
      </c>
      <c r="E20" s="9"/>
      <c r="F20" s="9"/>
      <c r="G20" s="9"/>
      <c r="H20" s="9"/>
      <c r="I20" s="25"/>
    </row>
    <row r="21" spans="1:9" s="2" customFormat="1" ht="36.75" customHeight="1" x14ac:dyDescent="0.45">
      <c r="A21" s="51">
        <v>16</v>
      </c>
      <c r="B21" s="38" t="s">
        <v>23</v>
      </c>
      <c r="C21" s="57"/>
      <c r="D21" s="35" t="e">
        <f>C21*100/C20</f>
        <v>#DIV/0!</v>
      </c>
      <c r="E21" s="9"/>
      <c r="F21" s="9"/>
      <c r="G21" s="9"/>
      <c r="H21" s="9"/>
      <c r="I21" s="25"/>
    </row>
    <row r="22" spans="1:9" s="2" customFormat="1" ht="36.75" customHeight="1" x14ac:dyDescent="0.45">
      <c r="A22" s="51">
        <v>17</v>
      </c>
      <c r="B22" s="38" t="s">
        <v>30</v>
      </c>
      <c r="C22" s="57"/>
      <c r="D22" s="35" t="e">
        <f>C22*100/C20</f>
        <v>#DIV/0!</v>
      </c>
      <c r="E22" s="9"/>
      <c r="F22" s="9"/>
      <c r="G22" s="9"/>
      <c r="H22" s="9"/>
      <c r="I22" s="25"/>
    </row>
    <row r="23" spans="1:9" s="2" customFormat="1" ht="36.75" customHeight="1" x14ac:dyDescent="0.45">
      <c r="A23" s="54">
        <v>18</v>
      </c>
      <c r="B23" s="48" t="s">
        <v>38</v>
      </c>
      <c r="C23" s="57"/>
      <c r="D23" s="35"/>
      <c r="E23" s="9"/>
      <c r="F23" s="9"/>
      <c r="G23" s="9"/>
      <c r="H23" s="9"/>
      <c r="I23" s="10"/>
    </row>
    <row r="24" spans="1:9" s="2" customFormat="1" ht="36.75" customHeight="1" x14ac:dyDescent="0.45">
      <c r="A24" s="51">
        <v>19</v>
      </c>
      <c r="B24" s="40" t="s">
        <v>31</v>
      </c>
      <c r="C24" s="57"/>
      <c r="D24" s="35" t="e">
        <f>C24*100/C23</f>
        <v>#DIV/0!</v>
      </c>
      <c r="E24" s="9"/>
      <c r="F24" s="9"/>
      <c r="G24" s="9"/>
      <c r="H24" s="9"/>
      <c r="I24" s="10"/>
    </row>
    <row r="25" spans="1:9" s="2" customFormat="1" ht="36.75" customHeight="1" x14ac:dyDescent="0.45">
      <c r="A25" s="51">
        <v>20</v>
      </c>
      <c r="B25" s="40" t="s">
        <v>18</v>
      </c>
      <c r="C25" s="57"/>
      <c r="D25" s="36" t="e">
        <f>C25*100/C23</f>
        <v>#DIV/0!</v>
      </c>
      <c r="E25" s="9"/>
      <c r="F25" s="9"/>
      <c r="G25" s="9"/>
      <c r="H25" s="9"/>
      <c r="I25" s="10"/>
    </row>
    <row r="26" spans="1:9" s="2" customFormat="1" ht="36.75" customHeight="1" x14ac:dyDescent="0.45">
      <c r="A26" s="51"/>
      <c r="B26" s="40" t="s">
        <v>56</v>
      </c>
      <c r="C26" s="57"/>
      <c r="D26" s="36" t="e">
        <f>C26*100/C26</f>
        <v>#DIV/0!</v>
      </c>
      <c r="E26" s="9"/>
      <c r="F26" s="9"/>
      <c r="G26" s="9"/>
      <c r="H26" s="9"/>
      <c r="I26" s="10"/>
    </row>
    <row r="27" spans="1:9" s="2" customFormat="1" ht="36.75" customHeight="1" x14ac:dyDescent="0.45">
      <c r="A27" s="54">
        <v>21</v>
      </c>
      <c r="B27" s="40" t="s">
        <v>24</v>
      </c>
      <c r="C27" s="57"/>
      <c r="D27" s="36" t="e">
        <f>C27*100/C26</f>
        <v>#DIV/0!</v>
      </c>
      <c r="E27" s="9"/>
      <c r="F27" s="9"/>
      <c r="G27" s="9"/>
      <c r="H27" s="9"/>
      <c r="I27" s="10"/>
    </row>
    <row r="28" spans="1:9" s="2" customFormat="1" ht="36.75" customHeight="1" x14ac:dyDescent="0.45">
      <c r="A28" s="51">
        <v>22</v>
      </c>
      <c r="B28" s="40" t="s">
        <v>25</v>
      </c>
      <c r="C28" s="57"/>
      <c r="D28" s="35" t="e">
        <f>C28*100/C26</f>
        <v>#DIV/0!</v>
      </c>
      <c r="E28" s="9"/>
      <c r="F28" s="9"/>
      <c r="G28" s="9"/>
      <c r="H28" s="9"/>
      <c r="I28" s="10"/>
    </row>
    <row r="29" spans="1:9" s="2" customFormat="1" ht="36.75" customHeight="1" x14ac:dyDescent="0.45">
      <c r="A29" s="51">
        <v>23</v>
      </c>
      <c r="B29" s="48" t="s">
        <v>39</v>
      </c>
      <c r="C29" s="57"/>
      <c r="D29" s="35" t="e">
        <f>C29*100/C18</f>
        <v>#DIV/0!</v>
      </c>
      <c r="E29" s="9"/>
      <c r="F29" s="9"/>
      <c r="G29" s="9"/>
      <c r="H29" s="9"/>
      <c r="I29" s="10"/>
    </row>
    <row r="30" spans="1:9" s="2" customFormat="1" ht="36.75" customHeight="1" x14ac:dyDescent="0.45">
      <c r="A30" s="54">
        <v>24</v>
      </c>
      <c r="B30" s="40" t="s">
        <v>40</v>
      </c>
      <c r="C30" s="57"/>
      <c r="D30" s="35" t="e">
        <f>C30*100/C18</f>
        <v>#DIV/0!</v>
      </c>
      <c r="E30" s="9"/>
      <c r="F30" s="9"/>
      <c r="G30" s="9"/>
      <c r="H30" s="9"/>
      <c r="I30" s="10"/>
    </row>
    <row r="31" spans="1:9" s="2" customFormat="1" ht="36.75" customHeight="1" x14ac:dyDescent="0.45">
      <c r="A31" s="51">
        <v>25</v>
      </c>
      <c r="B31" s="40" t="s">
        <v>41</v>
      </c>
      <c r="C31" s="57"/>
      <c r="D31" s="35" t="e">
        <f>C31*100/C19</f>
        <v>#DIV/0!</v>
      </c>
      <c r="E31" s="9"/>
      <c r="F31" s="9"/>
      <c r="G31" s="9"/>
      <c r="H31" s="9"/>
      <c r="I31" s="10"/>
    </row>
    <row r="32" spans="1:9" s="2" customFormat="1" ht="36.75" customHeight="1" x14ac:dyDescent="0.45">
      <c r="A32" s="51">
        <v>26</v>
      </c>
      <c r="B32" s="40" t="s">
        <v>42</v>
      </c>
      <c r="C32" s="57"/>
      <c r="D32" s="35" t="e">
        <f>C32*100/C18</f>
        <v>#DIV/0!</v>
      </c>
      <c r="E32" s="9"/>
      <c r="F32" s="9"/>
      <c r="G32" s="9"/>
      <c r="H32" s="9"/>
      <c r="I32" s="10"/>
    </row>
    <row r="33" spans="1:10" s="2" customFormat="1" ht="36.75" customHeight="1" x14ac:dyDescent="0.45">
      <c r="A33" s="54">
        <v>27</v>
      </c>
      <c r="B33" s="40" t="s">
        <v>43</v>
      </c>
      <c r="C33" s="57"/>
      <c r="D33" s="35" t="e">
        <f>C33*100/C18</f>
        <v>#DIV/0!</v>
      </c>
      <c r="E33" s="5"/>
      <c r="F33" s="5"/>
      <c r="G33" s="5"/>
      <c r="H33" s="9"/>
      <c r="I33" s="8"/>
    </row>
    <row r="34" spans="1:10" s="2" customFormat="1" ht="36.75" customHeight="1" x14ac:dyDescent="0.45">
      <c r="A34" s="51">
        <v>28</v>
      </c>
      <c r="B34" s="40" t="s">
        <v>44</v>
      </c>
      <c r="C34" s="59"/>
      <c r="D34" s="49" t="e">
        <f>C34*100/C27</f>
        <v>#DIV/0!</v>
      </c>
      <c r="E34" s="5"/>
      <c r="F34" s="5"/>
      <c r="G34" s="5"/>
      <c r="H34" s="9"/>
      <c r="I34" s="8"/>
    </row>
    <row r="35" spans="1:10" s="2" customFormat="1" ht="36.75" customHeight="1" x14ac:dyDescent="0.45">
      <c r="A35" s="16"/>
      <c r="B35" s="129" t="s">
        <v>73</v>
      </c>
      <c r="C35" s="130"/>
      <c r="D35" s="131"/>
      <c r="E35" s="4">
        <f>SUM(E8:E33)</f>
        <v>0</v>
      </c>
      <c r="F35" s="6">
        <f>SUM(F8:F33)</f>
        <v>0</v>
      </c>
      <c r="G35" s="7">
        <f>SUM(G8:G33)</f>
        <v>0</v>
      </c>
      <c r="H35" s="9">
        <f>SUM(E35:G35)</f>
        <v>0</v>
      </c>
      <c r="I35" s="78" t="e">
        <f>E35*100/H35</f>
        <v>#DIV/0!</v>
      </c>
      <c r="J35" s="2">
        <v>100</v>
      </c>
    </row>
    <row r="36" spans="1:10" s="2" customFormat="1" ht="36.75" customHeight="1" x14ac:dyDescent="0.45">
      <c r="A36" s="16"/>
      <c r="B36" s="21"/>
      <c r="C36" s="22"/>
      <c r="D36" s="22"/>
      <c r="E36" s="22"/>
      <c r="F36" s="22"/>
      <c r="G36" s="22"/>
      <c r="H36" s="23"/>
      <c r="I36" s="24" t="s">
        <v>49</v>
      </c>
    </row>
    <row r="37" spans="1:10" s="2" customFormat="1" ht="36.75" customHeight="1" x14ac:dyDescent="0.45">
      <c r="A37" s="60"/>
      <c r="B37" s="132" t="s">
        <v>47</v>
      </c>
      <c r="C37" s="132"/>
      <c r="D37" s="132"/>
      <c r="E37" s="61" t="s">
        <v>2</v>
      </c>
      <c r="F37" s="61" t="s">
        <v>3</v>
      </c>
      <c r="G37" s="61" t="s">
        <v>4</v>
      </c>
      <c r="H37" s="62" t="s">
        <v>27</v>
      </c>
      <c r="I37" s="63" t="s">
        <v>5</v>
      </c>
    </row>
    <row r="38" spans="1:10" s="2" customFormat="1" ht="42.75" customHeight="1" x14ac:dyDescent="0.45">
      <c r="A38" s="64">
        <v>1</v>
      </c>
      <c r="B38" s="120" t="s">
        <v>48</v>
      </c>
      <c r="C38" s="121"/>
      <c r="D38" s="122"/>
      <c r="E38" s="67"/>
      <c r="F38" s="68"/>
      <c r="G38" s="68"/>
      <c r="H38" s="69"/>
      <c r="I38" s="79"/>
    </row>
    <row r="39" spans="1:10" s="2" customFormat="1" ht="36.75" customHeight="1" x14ac:dyDescent="0.45">
      <c r="A39" s="64">
        <v>2</v>
      </c>
      <c r="B39" s="41" t="s">
        <v>58</v>
      </c>
      <c r="C39" s="42"/>
      <c r="D39" s="43"/>
      <c r="E39" s="67"/>
      <c r="F39" s="68"/>
      <c r="G39" s="68"/>
      <c r="H39" s="69"/>
      <c r="I39" s="80"/>
    </row>
    <row r="40" spans="1:10" s="2" customFormat="1" ht="36.75" customHeight="1" x14ac:dyDescent="0.45">
      <c r="A40" s="65">
        <v>3</v>
      </c>
      <c r="B40" s="87" t="s">
        <v>59</v>
      </c>
      <c r="C40" s="88"/>
      <c r="D40" s="89"/>
      <c r="E40" s="28"/>
      <c r="F40" s="29"/>
      <c r="G40" s="29"/>
      <c r="H40" s="11"/>
      <c r="I40" s="81"/>
    </row>
    <row r="41" spans="1:10" s="2" customFormat="1" ht="36.75" customHeight="1" x14ac:dyDescent="0.45">
      <c r="A41" s="64">
        <v>4</v>
      </c>
      <c r="B41" s="87" t="s">
        <v>60</v>
      </c>
      <c r="C41" s="88"/>
      <c r="D41" s="89"/>
      <c r="E41" s="28"/>
      <c r="F41" s="29"/>
      <c r="G41" s="29"/>
      <c r="H41" s="11"/>
      <c r="I41" s="25"/>
    </row>
    <row r="42" spans="1:10" s="2" customFormat="1" ht="36.75" customHeight="1" x14ac:dyDescent="0.45">
      <c r="A42" s="64">
        <v>5</v>
      </c>
      <c r="B42" s="87" t="s">
        <v>9</v>
      </c>
      <c r="C42" s="88"/>
      <c r="D42" s="89"/>
      <c r="E42" s="28"/>
      <c r="F42" s="29"/>
      <c r="G42" s="29"/>
      <c r="H42" s="11"/>
      <c r="I42" s="25"/>
    </row>
    <row r="43" spans="1:10" s="2" customFormat="1" ht="36.75" customHeight="1" x14ac:dyDescent="0.45">
      <c r="A43" s="65">
        <v>6</v>
      </c>
      <c r="B43" s="87" t="s">
        <v>10</v>
      </c>
      <c r="C43" s="88"/>
      <c r="D43" s="89"/>
      <c r="E43" s="28"/>
      <c r="F43" s="29"/>
      <c r="G43" s="29"/>
      <c r="H43" s="11"/>
      <c r="I43" s="25"/>
    </row>
    <row r="44" spans="1:10" s="1" customFormat="1" ht="36.75" customHeight="1" x14ac:dyDescent="0.45">
      <c r="A44" s="64">
        <v>7</v>
      </c>
      <c r="B44" s="87" t="s">
        <v>11</v>
      </c>
      <c r="C44" s="88"/>
      <c r="D44" s="89"/>
      <c r="E44" s="28"/>
      <c r="F44" s="29"/>
      <c r="G44" s="29"/>
      <c r="H44" s="11"/>
      <c r="I44" s="25"/>
    </row>
    <row r="45" spans="1:10" s="1" customFormat="1" ht="42" customHeight="1" x14ac:dyDescent="0.45">
      <c r="A45" s="64">
        <v>8</v>
      </c>
      <c r="B45" s="106" t="s">
        <v>32</v>
      </c>
      <c r="C45" s="107"/>
      <c r="D45" s="108"/>
      <c r="E45" s="30"/>
      <c r="F45" s="31"/>
      <c r="G45" s="31"/>
      <c r="H45" s="12"/>
      <c r="I45" s="26"/>
    </row>
    <row r="46" spans="1:10" s="1" customFormat="1" ht="36.75" customHeight="1" x14ac:dyDescent="0.45">
      <c r="A46" s="65">
        <v>9</v>
      </c>
      <c r="B46" s="87" t="s">
        <v>8</v>
      </c>
      <c r="C46" s="88"/>
      <c r="D46" s="89"/>
      <c r="E46" s="28"/>
      <c r="F46" s="29"/>
      <c r="G46" s="29"/>
      <c r="H46" s="11"/>
      <c r="I46" s="25"/>
    </row>
    <row r="47" spans="1:10" s="1" customFormat="1" ht="36.75" customHeight="1" x14ac:dyDescent="0.45">
      <c r="A47" s="64">
        <v>10</v>
      </c>
      <c r="B47" s="116" t="s">
        <v>61</v>
      </c>
      <c r="C47" s="116"/>
      <c r="D47" s="116"/>
      <c r="E47" s="70"/>
      <c r="F47" s="71"/>
      <c r="G47" s="71"/>
      <c r="H47" s="72"/>
      <c r="I47" s="25"/>
    </row>
    <row r="48" spans="1:10" s="1" customFormat="1" ht="36.75" customHeight="1" x14ac:dyDescent="0.45">
      <c r="A48" s="64">
        <v>11</v>
      </c>
      <c r="B48" s="87" t="s">
        <v>62</v>
      </c>
      <c r="C48" s="88"/>
      <c r="D48" s="89"/>
      <c r="E48" s="70"/>
      <c r="F48" s="71"/>
      <c r="G48" s="71"/>
      <c r="H48" s="72"/>
      <c r="I48" s="82"/>
    </row>
    <row r="49" spans="1:10" s="1" customFormat="1" ht="36.75" customHeight="1" x14ac:dyDescent="0.45">
      <c r="A49" s="65">
        <v>12</v>
      </c>
      <c r="B49" s="109" t="s">
        <v>63</v>
      </c>
      <c r="C49" s="110"/>
      <c r="D49" s="111"/>
      <c r="E49" s="70"/>
      <c r="F49" s="71"/>
      <c r="G49" s="71"/>
      <c r="H49" s="72"/>
      <c r="I49" s="82"/>
    </row>
    <row r="50" spans="1:10" s="1" customFormat="1" ht="39" customHeight="1" x14ac:dyDescent="0.45">
      <c r="A50" s="64">
        <v>13</v>
      </c>
      <c r="B50" s="117" t="s">
        <v>16</v>
      </c>
      <c r="C50" s="118"/>
      <c r="D50" s="119"/>
      <c r="E50" s="70"/>
      <c r="F50" s="71"/>
      <c r="G50" s="71"/>
      <c r="H50" s="72"/>
      <c r="I50" s="82"/>
    </row>
    <row r="51" spans="1:10" s="1" customFormat="1" ht="42" customHeight="1" x14ac:dyDescent="0.45">
      <c r="A51" s="64">
        <v>14</v>
      </c>
      <c r="B51" s="106" t="s">
        <v>19</v>
      </c>
      <c r="C51" s="107"/>
      <c r="D51" s="108"/>
      <c r="E51" s="70"/>
      <c r="F51" s="71"/>
      <c r="G51" s="71"/>
      <c r="H51" s="72"/>
      <c r="I51" s="82"/>
    </row>
    <row r="52" spans="1:10" s="1" customFormat="1" ht="36.75" customHeight="1" x14ac:dyDescent="0.45">
      <c r="A52" s="65">
        <v>15</v>
      </c>
      <c r="B52" s="114" t="s">
        <v>20</v>
      </c>
      <c r="C52" s="114"/>
      <c r="D52" s="114"/>
      <c r="E52" s="70"/>
      <c r="F52" s="71"/>
      <c r="G52" s="71"/>
      <c r="H52" s="72"/>
      <c r="I52" s="82"/>
    </row>
    <row r="53" spans="1:10" s="1" customFormat="1" ht="36.75" customHeight="1" x14ac:dyDescent="0.45">
      <c r="A53" s="64">
        <v>16</v>
      </c>
      <c r="B53" s="114" t="s">
        <v>21</v>
      </c>
      <c r="C53" s="114"/>
      <c r="D53" s="114"/>
      <c r="E53" s="70"/>
      <c r="F53" s="71"/>
      <c r="G53" s="71"/>
      <c r="H53" s="72"/>
      <c r="I53" s="82"/>
    </row>
    <row r="54" spans="1:10" s="1" customFormat="1" ht="36.75" customHeight="1" x14ac:dyDescent="0.45">
      <c r="A54" s="64">
        <v>17</v>
      </c>
      <c r="B54" s="109" t="s">
        <v>22</v>
      </c>
      <c r="C54" s="110"/>
      <c r="D54" s="111"/>
      <c r="E54" s="70"/>
      <c r="F54" s="71"/>
      <c r="G54" s="71"/>
      <c r="H54" s="72"/>
      <c r="I54" s="82"/>
    </row>
    <row r="55" spans="1:10" s="1" customFormat="1" ht="44.25" customHeight="1" x14ac:dyDescent="0.45">
      <c r="A55" s="64">
        <v>18</v>
      </c>
      <c r="B55" s="115" t="s">
        <v>33</v>
      </c>
      <c r="C55" s="115"/>
      <c r="D55" s="115"/>
      <c r="E55" s="70"/>
      <c r="F55" s="71"/>
      <c r="G55" s="71"/>
      <c r="H55" s="72"/>
      <c r="I55" s="82"/>
    </row>
    <row r="56" spans="1:10" s="1" customFormat="1" ht="36.75" customHeight="1" x14ac:dyDescent="0.45">
      <c r="A56" s="65">
        <v>19</v>
      </c>
      <c r="B56" s="114" t="s">
        <v>17</v>
      </c>
      <c r="C56" s="114"/>
      <c r="D56" s="114"/>
      <c r="E56" s="70"/>
      <c r="F56" s="71"/>
      <c r="G56" s="71"/>
      <c r="H56" s="72"/>
      <c r="I56" s="82"/>
    </row>
    <row r="57" spans="1:10" s="1" customFormat="1" ht="45.75" customHeight="1" x14ac:dyDescent="0.45">
      <c r="A57" s="64">
        <v>20</v>
      </c>
      <c r="B57" s="115" t="s">
        <v>64</v>
      </c>
      <c r="C57" s="115"/>
      <c r="D57" s="115"/>
      <c r="E57" s="70"/>
      <c r="F57" s="71"/>
      <c r="G57" s="71"/>
      <c r="H57" s="72"/>
      <c r="I57" s="82"/>
    </row>
    <row r="58" spans="1:10" s="1" customFormat="1" ht="36.75" customHeight="1" x14ac:dyDescent="0.45">
      <c r="A58" s="64">
        <v>21</v>
      </c>
      <c r="B58" s="116" t="s">
        <v>65</v>
      </c>
      <c r="C58" s="116"/>
      <c r="D58" s="116"/>
      <c r="E58" s="70"/>
      <c r="F58" s="71"/>
      <c r="G58" s="71"/>
      <c r="H58" s="72"/>
      <c r="I58" s="82"/>
    </row>
    <row r="59" spans="1:10" s="1" customFormat="1" ht="44.25" customHeight="1" x14ac:dyDescent="0.45">
      <c r="A59" s="64">
        <v>22</v>
      </c>
      <c r="B59" s="44" t="s">
        <v>66</v>
      </c>
      <c r="C59" s="46"/>
      <c r="D59" s="47"/>
      <c r="E59" s="70"/>
      <c r="F59" s="71"/>
      <c r="G59" s="71"/>
      <c r="H59" s="72"/>
      <c r="I59" s="82"/>
    </row>
    <row r="60" spans="1:10" s="1" customFormat="1" ht="36.75" customHeight="1" x14ac:dyDescent="0.45">
      <c r="A60" s="64">
        <v>23</v>
      </c>
      <c r="B60" s="45" t="s">
        <v>67</v>
      </c>
      <c r="C60" s="46"/>
      <c r="D60" s="47"/>
      <c r="E60" s="70"/>
      <c r="F60" s="71"/>
      <c r="G60" s="71"/>
      <c r="H60" s="72"/>
      <c r="I60" s="82"/>
    </row>
    <row r="61" spans="1:10" s="1" customFormat="1" ht="36.75" customHeight="1" x14ac:dyDescent="0.45">
      <c r="A61" s="64">
        <v>24</v>
      </c>
      <c r="B61" s="45" t="s">
        <v>68</v>
      </c>
      <c r="C61" s="46"/>
      <c r="D61" s="47"/>
      <c r="E61" s="70"/>
      <c r="F61" s="71"/>
      <c r="G61" s="71"/>
      <c r="H61" s="72"/>
      <c r="I61" s="82"/>
    </row>
    <row r="62" spans="1:10" s="1" customFormat="1" ht="36.75" customHeight="1" x14ac:dyDescent="0.45">
      <c r="A62" s="64">
        <v>25</v>
      </c>
      <c r="B62" s="87" t="s">
        <v>69</v>
      </c>
      <c r="C62" s="88"/>
      <c r="D62" s="89"/>
      <c r="E62" s="70"/>
      <c r="F62" s="71"/>
      <c r="G62" s="71"/>
      <c r="H62" s="72"/>
      <c r="I62" s="83"/>
    </row>
    <row r="63" spans="1:10" s="1" customFormat="1" ht="35.25" customHeight="1" x14ac:dyDescent="0.45">
      <c r="A63" s="17"/>
      <c r="B63" s="103" t="s">
        <v>73</v>
      </c>
      <c r="C63" s="104"/>
      <c r="D63" s="105"/>
      <c r="E63" s="18">
        <f>SUM(E38:E62)</f>
        <v>0</v>
      </c>
      <c r="F63" s="19">
        <f>SUM(F38:F62)</f>
        <v>0</v>
      </c>
      <c r="G63" s="20">
        <f>SUM(G38:G62)</f>
        <v>0</v>
      </c>
      <c r="H63" s="13">
        <f>SUM(E63:G63)</f>
        <v>0</v>
      </c>
      <c r="I63" s="85" t="e">
        <f>E63*100/H63</f>
        <v>#DIV/0!</v>
      </c>
      <c r="J63" s="1">
        <v>100</v>
      </c>
    </row>
    <row r="64" spans="1:10" ht="14.5" x14ac:dyDescent="0.35">
      <c r="A64" s="96" t="s">
        <v>35</v>
      </c>
      <c r="B64" s="97"/>
      <c r="C64" s="97"/>
      <c r="D64" s="97"/>
      <c r="E64" s="97"/>
      <c r="F64" s="97"/>
      <c r="G64" s="97"/>
      <c r="H64" s="112"/>
      <c r="I64" s="98"/>
    </row>
    <row r="65" spans="1:9" ht="109.5" customHeight="1" x14ac:dyDescent="0.35">
      <c r="A65" s="113"/>
      <c r="B65" s="97"/>
      <c r="C65" s="97"/>
      <c r="D65" s="97"/>
      <c r="E65" s="97"/>
      <c r="F65" s="97"/>
      <c r="G65" s="97"/>
      <c r="H65" s="112"/>
      <c r="I65" s="98"/>
    </row>
    <row r="66" spans="1:9" ht="67.5" customHeight="1" x14ac:dyDescent="0.35">
      <c r="A66" s="96" t="s">
        <v>36</v>
      </c>
      <c r="B66" s="97"/>
      <c r="C66" s="97"/>
      <c r="D66" s="97"/>
      <c r="E66" s="97"/>
      <c r="F66" s="97"/>
      <c r="G66" s="97"/>
      <c r="H66" s="97"/>
      <c r="I66" s="98"/>
    </row>
    <row r="67" spans="1:9" ht="81.75" customHeight="1" thickBot="1" x14ac:dyDescent="0.45">
      <c r="A67" s="99" t="s">
        <v>70</v>
      </c>
      <c r="B67" s="100"/>
      <c r="C67" s="100"/>
      <c r="D67" s="100"/>
      <c r="E67" s="100"/>
      <c r="F67" s="101"/>
      <c r="G67" s="101"/>
      <c r="H67" s="101"/>
      <c r="I67" s="102"/>
    </row>
    <row r="68" spans="1:9" ht="32.25" customHeight="1" x14ac:dyDescent="0.5">
      <c r="B68" s="86" t="s">
        <v>74</v>
      </c>
    </row>
  </sheetData>
  <sheetProtection password="CC41" sheet="1" objects="1" scenarios="1"/>
  <mergeCells count="34">
    <mergeCell ref="A3:A4"/>
    <mergeCell ref="B1:I1"/>
    <mergeCell ref="C3:D3"/>
    <mergeCell ref="B35:D35"/>
    <mergeCell ref="B37:D37"/>
    <mergeCell ref="B38:D38"/>
    <mergeCell ref="B40:D40"/>
    <mergeCell ref="B41:D41"/>
    <mergeCell ref="I3:I4"/>
    <mergeCell ref="B48:D48"/>
    <mergeCell ref="B49:D49"/>
    <mergeCell ref="B50:D50"/>
    <mergeCell ref="B52:D52"/>
    <mergeCell ref="B42:D42"/>
    <mergeCell ref="B43:D43"/>
    <mergeCell ref="B44:D44"/>
    <mergeCell ref="B45:D45"/>
    <mergeCell ref="B46:D46"/>
    <mergeCell ref="B62:D62"/>
    <mergeCell ref="C2:H2"/>
    <mergeCell ref="E3:H3"/>
    <mergeCell ref="A66:I66"/>
    <mergeCell ref="A67:E67"/>
    <mergeCell ref="F67:I67"/>
    <mergeCell ref="B63:D63"/>
    <mergeCell ref="B51:D51"/>
    <mergeCell ref="B54:D54"/>
    <mergeCell ref="A64:I65"/>
    <mergeCell ref="B53:D53"/>
    <mergeCell ref="B55:D55"/>
    <mergeCell ref="B56:D56"/>
    <mergeCell ref="B57:D57"/>
    <mergeCell ref="B58:D58"/>
    <mergeCell ref="B47:D47"/>
  </mergeCells>
  <conditionalFormatting sqref="D8:D28 D34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{6165DD9D-0022-41D4-9FE7-B054116D57A5}</x14:id>
        </ext>
      </extLst>
    </cfRule>
  </conditionalFormatting>
  <conditionalFormatting sqref="D29:D3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D7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10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{0002D9FC-9F29-45A1-8869-08C4B1969F25}</x14:id>
        </ext>
      </extLst>
    </cfRule>
  </conditionalFormatting>
  <conditionalFormatting sqref="D12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{9DB450AD-A58F-42B4-82E2-3CE81F46B037}</x14:id>
        </ext>
      </extLst>
    </cfRule>
  </conditionalFormatting>
  <conditionalFormatting sqref="D11:D12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{3A250887-99F6-4FC8-9AF7-7C40D8A57DD4}</x14:id>
        </ext>
      </extLst>
    </cfRule>
  </conditionalFormatting>
  <conditionalFormatting sqref="I3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3:J6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5:J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23" fitToWidth="0" orientation="portrait" horizontalDpi="4294967294" verticalDpi="4294967294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65DD9D-0022-41D4-9FE7-B054116D57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D8:D28 D34</xm:sqref>
        </x14:conditionalFormatting>
        <x14:conditionalFormatting xmlns:xm="http://schemas.microsoft.com/office/excel/2006/main">
          <x14:cfRule type="dataBar" id="{0002D9FC-9F29-45A1-8869-08C4B1969F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</xm:sqref>
        </x14:conditionalFormatting>
        <x14:conditionalFormatting xmlns:xm="http://schemas.microsoft.com/office/excel/2006/main">
          <x14:cfRule type="dataBar" id="{9DB450AD-A58F-42B4-82E2-3CE81F46B0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</xm:sqref>
        </x14:conditionalFormatting>
        <x14:conditionalFormatting xmlns:xm="http://schemas.microsoft.com/office/excel/2006/main">
          <x14:cfRule type="dataBar" id="{3A250887-99F6-4FC8-9AF7-7C40D8A57D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D11:D12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VERIFICACIÓN</vt:lpstr>
      <vt:lpstr>'LISTA VERIFICACIÓN'!Área_de_impresión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Andres Cruz Martinez</dc:creator>
  <cp:lastModifiedBy>Andres Cruz</cp:lastModifiedBy>
  <cp:lastPrinted>2019-04-02T19:40:52Z</cp:lastPrinted>
  <dcterms:created xsi:type="dcterms:W3CDTF">2019-03-28T18:52:55Z</dcterms:created>
  <dcterms:modified xsi:type="dcterms:W3CDTF">2023-01-07T03:11:24Z</dcterms:modified>
</cp:coreProperties>
</file>